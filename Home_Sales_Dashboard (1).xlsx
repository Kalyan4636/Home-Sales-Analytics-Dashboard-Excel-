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drawings/drawing2.xml" ContentType="application/vnd.openxmlformats-officedocument.drawing+xml"/>
  <Override PartName="/xl/charts/chart9.xml" ContentType="application/vnd.openxmlformats-officedocument.drawingml.chart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drawings/drawing7.xml" ContentType="application/vnd.openxmlformats-officedocument.drawing+xml"/>
  <Override PartName="/xl/charts/chart14.xml" ContentType="application/vnd.openxmlformats-officedocument.drawingml.chart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drawings/drawing9.xml" ContentType="application/vnd.openxmlformats-officedocument.drawing+xml"/>
  <Override PartName="/xl/charts/chart16.xml" ContentType="application/vnd.openxmlformats-officedocument.drawingml.char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dity\Downloads\"/>
    </mc:Choice>
  </mc:AlternateContent>
  <xr:revisionPtr revIDLastSave="0" documentId="13_ncr:1_{39C12EDE-5DB8-4D46-9DA0-BBB603771B17}" xr6:coauthVersionLast="47" xr6:coauthVersionMax="47" xr10:uidLastSave="{00000000-0000-0000-0000-000000000000}"/>
  <bookViews>
    <workbookView xWindow="-110" yWindow="-110" windowWidth="19420" windowHeight="11500" tabRatio="500" xr2:uid="{00000000-000D-0000-FFFF-FFFF00000000}"/>
  </bookViews>
  <sheets>
    <sheet name="Pivots" sheetId="10" r:id="rId1"/>
    <sheet name="Dashboard" sheetId="1" r:id="rId2"/>
    <sheet name="D1_Trend" sheetId="2" r:id="rId3"/>
    <sheet name="D2_Neighborhood" sheetId="3" r:id="rId4"/>
    <sheet name="D3_Speed_Negotiation" sheetId="4" r:id="rId5"/>
    <sheet name="D4_Property_Type" sheetId="5" r:id="rId6"/>
    <sheet name="D5_Price_Distribution" sheetId="6" r:id="rId7"/>
    <sheet name="D6_Size_vs_Price" sheetId="7" r:id="rId8"/>
    <sheet name="D7_Condition" sheetId="8" r:id="rId9"/>
    <sheet name="D8_Bedrooms" sheetId="9" r:id="rId10"/>
    <sheet name="Analysis" sheetId="11" r:id="rId11"/>
    <sheet name="Cleaning_Log" sheetId="12" r:id="rId12"/>
    <sheet name="Data_Clean" sheetId="13" r:id="rId13"/>
    <sheet name="Data_Raw" sheetId="14" r:id="rId14"/>
  </sheets>
  <definedNames>
    <definedName name="bin_lbl">Pivots!$A$66:$A$72</definedName>
    <definedName name="bin_lo">Pivots!$B$66:$B$72</definedName>
    <definedName name="c_nb">Analysis!$B$81</definedName>
    <definedName name="c_pt">Analysis!$B$82</definedName>
    <definedName name="d_age">Data_Clean!$U$2:$U$251</definedName>
    <definedName name="d_band">Data_Clean!$V$2:$V$251</definedName>
    <definedName name="d_baths">Data_Clean!$F$2:$F$251</definedName>
    <definedName name="d_beds">Data_Clean!$E$2:$E$251</definedName>
    <definedName name="d_comm">Data_Clean!$O$2:$O$251</definedName>
    <definedName name="d_commusd">Data_Clean!$T$2:$T$251</definedName>
    <definedName name="d_cond">Data_Clean!$K$2:$K$251</definedName>
    <definedName name="d_date">Data_Clean!$B$2:$B$251</definedName>
    <definedName name="d_diff">Data_Clean!$S$2:$S$251</definedName>
    <definedName name="d_dom">Data_Clean!$N$2:$N$251</definedName>
    <definedName name="d_flag">Data_Clean!$W$2:$W$251</definedName>
    <definedName name="d_garage">Data_Clean!$J$2:$J$251</definedName>
    <definedName name="d_id">Data_Clean!$A$2:$A$251</definedName>
    <definedName name="d_list">Data_Clean!$L$2:$L$251</definedName>
    <definedName name="d_lot">Data_Clean!$H$2:$H$251</definedName>
    <definedName name="d_month">Data_Clean!$P$2:$P$251</definedName>
    <definedName name="d_nbhd">Data_Clean!$C$2:$C$251</definedName>
    <definedName name="d_notes">Data_Clean!$X$2:$X$251</definedName>
    <definedName name="d_price">Data_Clean!$M$2:$M$251</definedName>
    <definedName name="d_psf">Data_Clean!$Q$2:$Q$251</definedName>
    <definedName name="d_sqft">Data_Clean!$G$2:$G$251</definedName>
    <definedName name="d_stl">Data_Clean!$R$2:$R$251</definedName>
    <definedName name="d_type">Data_Clean!$D$2:$D$251</definedName>
    <definedName name="d_year">Data_Clean!$I$2:$I$251</definedName>
    <definedName name="f_dom_hi">Analysis!$F$23</definedName>
    <definedName name="f_price_hi">Analysis!$F$22</definedName>
    <definedName name="f_psf_hi">Analysis!$F$24</definedName>
    <definedName name="f_psf_lo">Analysis!$E$24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V251" i="13" l="1"/>
  <c r="U251" i="13"/>
  <c r="T251" i="13"/>
  <c r="S251" i="13"/>
  <c r="R251" i="13"/>
  <c r="Q251" i="13"/>
  <c r="P251" i="13"/>
  <c r="V250" i="13"/>
  <c r="U250" i="13"/>
  <c r="T250" i="13"/>
  <c r="S250" i="13"/>
  <c r="R250" i="13"/>
  <c r="Q250" i="13"/>
  <c r="P250" i="13"/>
  <c r="V249" i="13"/>
  <c r="U249" i="13"/>
  <c r="T249" i="13"/>
  <c r="S249" i="13"/>
  <c r="R249" i="13"/>
  <c r="H41" i="5" s="1"/>
  <c r="Q249" i="13"/>
  <c r="F41" i="5" s="1"/>
  <c r="P249" i="13"/>
  <c r="V248" i="13"/>
  <c r="U248" i="13"/>
  <c r="T248" i="13"/>
  <c r="S248" i="13"/>
  <c r="R248" i="13"/>
  <c r="Q248" i="13"/>
  <c r="P248" i="13"/>
  <c r="V247" i="13"/>
  <c r="U247" i="13"/>
  <c r="T247" i="13"/>
  <c r="S247" i="13"/>
  <c r="R247" i="13"/>
  <c r="Q247" i="13"/>
  <c r="P247" i="13"/>
  <c r="V246" i="13"/>
  <c r="U246" i="13"/>
  <c r="T246" i="13"/>
  <c r="S246" i="13"/>
  <c r="R246" i="13"/>
  <c r="Q246" i="13"/>
  <c r="P246" i="13"/>
  <c r="V245" i="13"/>
  <c r="U245" i="13"/>
  <c r="T245" i="13"/>
  <c r="S245" i="13"/>
  <c r="R245" i="13"/>
  <c r="Q245" i="13"/>
  <c r="P245" i="13"/>
  <c r="V244" i="13"/>
  <c r="U244" i="13"/>
  <c r="T244" i="13"/>
  <c r="S244" i="13"/>
  <c r="R244" i="13"/>
  <c r="Q244" i="13"/>
  <c r="P244" i="13"/>
  <c r="V243" i="13"/>
  <c r="U243" i="13"/>
  <c r="T243" i="13"/>
  <c r="S243" i="13"/>
  <c r="R243" i="13"/>
  <c r="Q243" i="13"/>
  <c r="P243" i="13"/>
  <c r="V242" i="13"/>
  <c r="U242" i="13"/>
  <c r="T242" i="13"/>
  <c r="S242" i="13"/>
  <c r="R242" i="13"/>
  <c r="Q242" i="13"/>
  <c r="P242" i="13"/>
  <c r="V241" i="13"/>
  <c r="U241" i="13"/>
  <c r="T241" i="13"/>
  <c r="S241" i="13"/>
  <c r="R241" i="13"/>
  <c r="Q241" i="13"/>
  <c r="P241" i="13"/>
  <c r="V240" i="13"/>
  <c r="U240" i="13"/>
  <c r="T240" i="13"/>
  <c r="S240" i="13"/>
  <c r="R240" i="13"/>
  <c r="Q240" i="13"/>
  <c r="P240" i="13"/>
  <c r="V239" i="13"/>
  <c r="U239" i="13"/>
  <c r="T239" i="13"/>
  <c r="S239" i="13"/>
  <c r="R239" i="13"/>
  <c r="Q239" i="13"/>
  <c r="P239" i="13"/>
  <c r="V238" i="13"/>
  <c r="U238" i="13"/>
  <c r="T238" i="13"/>
  <c r="S238" i="13"/>
  <c r="R238" i="13"/>
  <c r="Q238" i="13"/>
  <c r="P238" i="13"/>
  <c r="V237" i="13"/>
  <c r="U237" i="13"/>
  <c r="T237" i="13"/>
  <c r="S237" i="13"/>
  <c r="R237" i="13"/>
  <c r="Q237" i="13"/>
  <c r="P237" i="13"/>
  <c r="V236" i="13"/>
  <c r="U236" i="13"/>
  <c r="T236" i="13"/>
  <c r="S236" i="13"/>
  <c r="R236" i="13"/>
  <c r="Q236" i="13"/>
  <c r="P236" i="13"/>
  <c r="V235" i="13"/>
  <c r="U235" i="13"/>
  <c r="T235" i="13"/>
  <c r="S235" i="13"/>
  <c r="R235" i="13"/>
  <c r="Q235" i="13"/>
  <c r="P235" i="13"/>
  <c r="V234" i="13"/>
  <c r="U234" i="13"/>
  <c r="T234" i="13"/>
  <c r="S234" i="13"/>
  <c r="R234" i="13"/>
  <c r="Q234" i="13"/>
  <c r="P234" i="13"/>
  <c r="V233" i="13"/>
  <c r="U233" i="13"/>
  <c r="T233" i="13"/>
  <c r="S233" i="13"/>
  <c r="R233" i="13"/>
  <c r="Q233" i="13"/>
  <c r="P233" i="13"/>
  <c r="V232" i="13"/>
  <c r="U232" i="13"/>
  <c r="T232" i="13"/>
  <c r="S232" i="13"/>
  <c r="R232" i="13"/>
  <c r="Q232" i="13"/>
  <c r="P232" i="13"/>
  <c r="V231" i="13"/>
  <c r="U231" i="13"/>
  <c r="T231" i="13"/>
  <c r="S231" i="13"/>
  <c r="R231" i="13"/>
  <c r="Q231" i="13"/>
  <c r="P231" i="13"/>
  <c r="V230" i="13"/>
  <c r="U230" i="13"/>
  <c r="T230" i="13"/>
  <c r="S230" i="13"/>
  <c r="R230" i="13"/>
  <c r="Q230" i="13"/>
  <c r="P230" i="13"/>
  <c r="V229" i="13"/>
  <c r="U229" i="13"/>
  <c r="T229" i="13"/>
  <c r="S229" i="13"/>
  <c r="R229" i="13"/>
  <c r="Q229" i="13"/>
  <c r="P229" i="13"/>
  <c r="V228" i="13"/>
  <c r="U228" i="13"/>
  <c r="T228" i="13"/>
  <c r="S228" i="13"/>
  <c r="R228" i="13"/>
  <c r="Q228" i="13"/>
  <c r="P228" i="13"/>
  <c r="V227" i="13"/>
  <c r="U227" i="13"/>
  <c r="T227" i="13"/>
  <c r="S227" i="13"/>
  <c r="R227" i="13"/>
  <c r="Q227" i="13"/>
  <c r="P227" i="13"/>
  <c r="V226" i="13"/>
  <c r="U226" i="13"/>
  <c r="T226" i="13"/>
  <c r="S226" i="13"/>
  <c r="R226" i="13"/>
  <c r="Q226" i="13"/>
  <c r="P226" i="13"/>
  <c r="V225" i="13"/>
  <c r="U225" i="13"/>
  <c r="T225" i="13"/>
  <c r="S225" i="13"/>
  <c r="R225" i="13"/>
  <c r="Q225" i="13"/>
  <c r="P225" i="13"/>
  <c r="V224" i="13"/>
  <c r="U224" i="13"/>
  <c r="T224" i="13"/>
  <c r="S224" i="13"/>
  <c r="R224" i="13"/>
  <c r="Q224" i="13"/>
  <c r="P224" i="13"/>
  <c r="V223" i="13"/>
  <c r="U223" i="13"/>
  <c r="T223" i="13"/>
  <c r="S223" i="13"/>
  <c r="R223" i="13"/>
  <c r="Q223" i="13"/>
  <c r="P223" i="13"/>
  <c r="V222" i="13"/>
  <c r="U222" i="13"/>
  <c r="T222" i="13"/>
  <c r="S222" i="13"/>
  <c r="R222" i="13"/>
  <c r="Q222" i="13"/>
  <c r="P222" i="13"/>
  <c r="V221" i="13"/>
  <c r="U221" i="13"/>
  <c r="T221" i="13"/>
  <c r="S221" i="13"/>
  <c r="R221" i="13"/>
  <c r="Q221" i="13"/>
  <c r="P221" i="13"/>
  <c r="V220" i="13"/>
  <c r="U220" i="13"/>
  <c r="T220" i="13"/>
  <c r="S220" i="13"/>
  <c r="R220" i="13"/>
  <c r="Q220" i="13"/>
  <c r="P220" i="13"/>
  <c r="V219" i="13"/>
  <c r="U219" i="13"/>
  <c r="T219" i="13"/>
  <c r="S219" i="13"/>
  <c r="R219" i="13"/>
  <c r="Q219" i="13"/>
  <c r="P219" i="13"/>
  <c r="V218" i="13"/>
  <c r="U218" i="13"/>
  <c r="T218" i="13"/>
  <c r="S218" i="13"/>
  <c r="R218" i="13"/>
  <c r="Q218" i="13"/>
  <c r="P218" i="13"/>
  <c r="V217" i="13"/>
  <c r="U217" i="13"/>
  <c r="T217" i="13"/>
  <c r="S217" i="13"/>
  <c r="R217" i="13"/>
  <c r="Q217" i="13"/>
  <c r="P217" i="13"/>
  <c r="V216" i="13"/>
  <c r="U216" i="13"/>
  <c r="T216" i="13"/>
  <c r="S216" i="13"/>
  <c r="R216" i="13"/>
  <c r="Q216" i="13"/>
  <c r="P216" i="13"/>
  <c r="V215" i="13"/>
  <c r="U215" i="13"/>
  <c r="T215" i="13"/>
  <c r="S215" i="13"/>
  <c r="R215" i="13"/>
  <c r="Q215" i="13"/>
  <c r="P215" i="13"/>
  <c r="V214" i="13"/>
  <c r="U214" i="13"/>
  <c r="T214" i="13"/>
  <c r="S214" i="13"/>
  <c r="R214" i="13"/>
  <c r="Q214" i="13"/>
  <c r="P214" i="13"/>
  <c r="V213" i="13"/>
  <c r="U213" i="13"/>
  <c r="T213" i="13"/>
  <c r="S213" i="13"/>
  <c r="R213" i="13"/>
  <c r="Q213" i="13"/>
  <c r="P213" i="13"/>
  <c r="V212" i="13"/>
  <c r="U212" i="13"/>
  <c r="T212" i="13"/>
  <c r="S212" i="13"/>
  <c r="R212" i="13"/>
  <c r="Q212" i="13"/>
  <c r="P212" i="13"/>
  <c r="V211" i="13"/>
  <c r="U211" i="13"/>
  <c r="T211" i="13"/>
  <c r="S211" i="13"/>
  <c r="R211" i="13"/>
  <c r="Q211" i="13"/>
  <c r="P211" i="13"/>
  <c r="V210" i="13"/>
  <c r="U210" i="13"/>
  <c r="T210" i="13"/>
  <c r="S210" i="13"/>
  <c r="R210" i="13"/>
  <c r="Q210" i="13"/>
  <c r="P210" i="13"/>
  <c r="V209" i="13"/>
  <c r="U209" i="13"/>
  <c r="T209" i="13"/>
  <c r="S209" i="13"/>
  <c r="R209" i="13"/>
  <c r="Q209" i="13"/>
  <c r="P209" i="13"/>
  <c r="V208" i="13"/>
  <c r="U208" i="13"/>
  <c r="T208" i="13"/>
  <c r="S208" i="13"/>
  <c r="R208" i="13"/>
  <c r="Q208" i="13"/>
  <c r="P208" i="13"/>
  <c r="V207" i="13"/>
  <c r="U207" i="13"/>
  <c r="T207" i="13"/>
  <c r="S207" i="13"/>
  <c r="R207" i="13"/>
  <c r="Q207" i="13"/>
  <c r="P207" i="13"/>
  <c r="V206" i="13"/>
  <c r="U206" i="13"/>
  <c r="T206" i="13"/>
  <c r="S206" i="13"/>
  <c r="R206" i="13"/>
  <c r="Q206" i="13"/>
  <c r="P206" i="13"/>
  <c r="V205" i="13"/>
  <c r="U205" i="13"/>
  <c r="T205" i="13"/>
  <c r="S205" i="13"/>
  <c r="R205" i="13"/>
  <c r="Q205" i="13"/>
  <c r="P205" i="13"/>
  <c r="V204" i="13"/>
  <c r="U204" i="13"/>
  <c r="T204" i="13"/>
  <c r="S204" i="13"/>
  <c r="R204" i="13"/>
  <c r="Q204" i="13"/>
  <c r="P204" i="13"/>
  <c r="V203" i="13"/>
  <c r="U203" i="13"/>
  <c r="T203" i="13"/>
  <c r="S203" i="13"/>
  <c r="R203" i="13"/>
  <c r="Q203" i="13"/>
  <c r="P203" i="13"/>
  <c r="V202" i="13"/>
  <c r="U202" i="13"/>
  <c r="T202" i="13"/>
  <c r="S202" i="13"/>
  <c r="R202" i="13"/>
  <c r="Q202" i="13"/>
  <c r="P202" i="13"/>
  <c r="V201" i="13"/>
  <c r="U201" i="13"/>
  <c r="T201" i="13"/>
  <c r="S201" i="13"/>
  <c r="R201" i="13"/>
  <c r="Q201" i="13"/>
  <c r="P201" i="13"/>
  <c r="V200" i="13"/>
  <c r="U200" i="13"/>
  <c r="T200" i="13"/>
  <c r="S200" i="13"/>
  <c r="R200" i="13"/>
  <c r="Q200" i="13"/>
  <c r="P200" i="13"/>
  <c r="V199" i="13"/>
  <c r="U199" i="13"/>
  <c r="T199" i="13"/>
  <c r="S199" i="13"/>
  <c r="R199" i="13"/>
  <c r="Q199" i="13"/>
  <c r="P199" i="13"/>
  <c r="V198" i="13"/>
  <c r="U198" i="13"/>
  <c r="T198" i="13"/>
  <c r="S198" i="13"/>
  <c r="R198" i="13"/>
  <c r="Q198" i="13"/>
  <c r="P198" i="13"/>
  <c r="V197" i="13"/>
  <c r="U197" i="13"/>
  <c r="T197" i="13"/>
  <c r="S197" i="13"/>
  <c r="R197" i="13"/>
  <c r="Q197" i="13"/>
  <c r="P197" i="13"/>
  <c r="V196" i="13"/>
  <c r="U196" i="13"/>
  <c r="T196" i="13"/>
  <c r="S196" i="13"/>
  <c r="R196" i="13"/>
  <c r="Q196" i="13"/>
  <c r="P196" i="13"/>
  <c r="V195" i="13"/>
  <c r="U195" i="13"/>
  <c r="T195" i="13"/>
  <c r="S195" i="13"/>
  <c r="R195" i="13"/>
  <c r="Q195" i="13"/>
  <c r="P195" i="13"/>
  <c r="V194" i="13"/>
  <c r="U194" i="13"/>
  <c r="T194" i="13"/>
  <c r="S194" i="13"/>
  <c r="R194" i="13"/>
  <c r="Q194" i="13"/>
  <c r="P194" i="13"/>
  <c r="V193" i="13"/>
  <c r="U193" i="13"/>
  <c r="T193" i="13"/>
  <c r="S193" i="13"/>
  <c r="R193" i="13"/>
  <c r="Q193" i="13"/>
  <c r="P193" i="13"/>
  <c r="V192" i="13"/>
  <c r="U192" i="13"/>
  <c r="T192" i="13"/>
  <c r="S192" i="13"/>
  <c r="R192" i="13"/>
  <c r="Q192" i="13"/>
  <c r="P192" i="13"/>
  <c r="V191" i="13"/>
  <c r="U191" i="13"/>
  <c r="T191" i="13"/>
  <c r="S191" i="13"/>
  <c r="R191" i="13"/>
  <c r="Q191" i="13"/>
  <c r="P191" i="13"/>
  <c r="V190" i="13"/>
  <c r="U190" i="13"/>
  <c r="T190" i="13"/>
  <c r="S190" i="13"/>
  <c r="R190" i="13"/>
  <c r="Q190" i="13"/>
  <c r="P190" i="13"/>
  <c r="V189" i="13"/>
  <c r="U189" i="13"/>
  <c r="T189" i="13"/>
  <c r="S189" i="13"/>
  <c r="R189" i="13"/>
  <c r="Q189" i="13"/>
  <c r="P189" i="13"/>
  <c r="V188" i="13"/>
  <c r="U188" i="13"/>
  <c r="T188" i="13"/>
  <c r="S188" i="13"/>
  <c r="R188" i="13"/>
  <c r="Q188" i="13"/>
  <c r="P188" i="13"/>
  <c r="V187" i="13"/>
  <c r="U187" i="13"/>
  <c r="T187" i="13"/>
  <c r="S187" i="13"/>
  <c r="R187" i="13"/>
  <c r="Q187" i="13"/>
  <c r="P187" i="13"/>
  <c r="V186" i="13"/>
  <c r="U186" i="13"/>
  <c r="T186" i="13"/>
  <c r="S186" i="13"/>
  <c r="R186" i="13"/>
  <c r="Q186" i="13"/>
  <c r="P186" i="13"/>
  <c r="V185" i="13"/>
  <c r="U185" i="13"/>
  <c r="T185" i="13"/>
  <c r="S185" i="13"/>
  <c r="R185" i="13"/>
  <c r="Q185" i="13"/>
  <c r="P185" i="13"/>
  <c r="V184" i="13"/>
  <c r="U184" i="13"/>
  <c r="T184" i="13"/>
  <c r="S184" i="13"/>
  <c r="R184" i="13"/>
  <c r="Q184" i="13"/>
  <c r="P184" i="13"/>
  <c r="V183" i="13"/>
  <c r="U183" i="13"/>
  <c r="T183" i="13"/>
  <c r="S183" i="13"/>
  <c r="R183" i="13"/>
  <c r="Q183" i="13"/>
  <c r="P183" i="13"/>
  <c r="V182" i="13"/>
  <c r="U182" i="13"/>
  <c r="T182" i="13"/>
  <c r="S182" i="13"/>
  <c r="R182" i="13"/>
  <c r="Q182" i="13"/>
  <c r="P182" i="13"/>
  <c r="V181" i="13"/>
  <c r="U181" i="13"/>
  <c r="T181" i="13"/>
  <c r="S181" i="13"/>
  <c r="R181" i="13"/>
  <c r="Q181" i="13"/>
  <c r="P181" i="13"/>
  <c r="V180" i="13"/>
  <c r="U180" i="13"/>
  <c r="T180" i="13"/>
  <c r="S180" i="13"/>
  <c r="R180" i="13"/>
  <c r="Q180" i="13"/>
  <c r="P180" i="13"/>
  <c r="V179" i="13"/>
  <c r="U179" i="13"/>
  <c r="T179" i="13"/>
  <c r="S179" i="13"/>
  <c r="R179" i="13"/>
  <c r="Q179" i="13"/>
  <c r="P179" i="13"/>
  <c r="V178" i="13"/>
  <c r="U178" i="13"/>
  <c r="T178" i="13"/>
  <c r="S178" i="13"/>
  <c r="R178" i="13"/>
  <c r="Q178" i="13"/>
  <c r="P178" i="13"/>
  <c r="V177" i="13"/>
  <c r="U177" i="13"/>
  <c r="T177" i="13"/>
  <c r="S177" i="13"/>
  <c r="R177" i="13"/>
  <c r="Q177" i="13"/>
  <c r="P177" i="13"/>
  <c r="V176" i="13"/>
  <c r="U176" i="13"/>
  <c r="T176" i="13"/>
  <c r="S176" i="13"/>
  <c r="R176" i="13"/>
  <c r="Q176" i="13"/>
  <c r="P176" i="13"/>
  <c r="V175" i="13"/>
  <c r="U175" i="13"/>
  <c r="T175" i="13"/>
  <c r="S175" i="13"/>
  <c r="R175" i="13"/>
  <c r="Q175" i="13"/>
  <c r="P175" i="13"/>
  <c r="V174" i="13"/>
  <c r="U174" i="13"/>
  <c r="T174" i="13"/>
  <c r="S174" i="13"/>
  <c r="R174" i="13"/>
  <c r="Q174" i="13"/>
  <c r="P174" i="13"/>
  <c r="V173" i="13"/>
  <c r="U173" i="13"/>
  <c r="T173" i="13"/>
  <c r="S173" i="13"/>
  <c r="R173" i="13"/>
  <c r="Q173" i="13"/>
  <c r="P173" i="13"/>
  <c r="V172" i="13"/>
  <c r="U172" i="13"/>
  <c r="T172" i="13"/>
  <c r="S172" i="13"/>
  <c r="R172" i="13"/>
  <c r="Q172" i="13"/>
  <c r="P172" i="13"/>
  <c r="V171" i="13"/>
  <c r="U171" i="13"/>
  <c r="T171" i="13"/>
  <c r="S171" i="13"/>
  <c r="R171" i="13"/>
  <c r="Q171" i="13"/>
  <c r="P171" i="13"/>
  <c r="V170" i="13"/>
  <c r="U170" i="13"/>
  <c r="T170" i="13"/>
  <c r="S170" i="13"/>
  <c r="R170" i="13"/>
  <c r="Q170" i="13"/>
  <c r="P170" i="13"/>
  <c r="V169" i="13"/>
  <c r="U169" i="13"/>
  <c r="T169" i="13"/>
  <c r="S169" i="13"/>
  <c r="R169" i="13"/>
  <c r="Q169" i="13"/>
  <c r="P169" i="13"/>
  <c r="V168" i="13"/>
  <c r="U168" i="13"/>
  <c r="T168" i="13"/>
  <c r="S168" i="13"/>
  <c r="R168" i="13"/>
  <c r="Q168" i="13"/>
  <c r="P168" i="13"/>
  <c r="V167" i="13"/>
  <c r="U167" i="13"/>
  <c r="T167" i="13"/>
  <c r="S167" i="13"/>
  <c r="R167" i="13"/>
  <c r="Q167" i="13"/>
  <c r="P167" i="13"/>
  <c r="V166" i="13"/>
  <c r="U166" i="13"/>
  <c r="T166" i="13"/>
  <c r="S166" i="13"/>
  <c r="R166" i="13"/>
  <c r="Q166" i="13"/>
  <c r="P166" i="13"/>
  <c r="V165" i="13"/>
  <c r="U165" i="13"/>
  <c r="T165" i="13"/>
  <c r="S165" i="13"/>
  <c r="R165" i="13"/>
  <c r="Q165" i="13"/>
  <c r="P165" i="13"/>
  <c r="V164" i="13"/>
  <c r="U164" i="13"/>
  <c r="T164" i="13"/>
  <c r="S164" i="13"/>
  <c r="R164" i="13"/>
  <c r="Q164" i="13"/>
  <c r="P164" i="13"/>
  <c r="V163" i="13"/>
  <c r="U163" i="13"/>
  <c r="T163" i="13"/>
  <c r="S163" i="13"/>
  <c r="R163" i="13"/>
  <c r="Q163" i="13"/>
  <c r="P163" i="13"/>
  <c r="V162" i="13"/>
  <c r="U162" i="13"/>
  <c r="T162" i="13"/>
  <c r="S162" i="13"/>
  <c r="R162" i="13"/>
  <c r="Q162" i="13"/>
  <c r="P162" i="13"/>
  <c r="V161" i="13"/>
  <c r="U161" i="13"/>
  <c r="T161" i="13"/>
  <c r="S161" i="13"/>
  <c r="R161" i="13"/>
  <c r="Q161" i="13"/>
  <c r="P161" i="13"/>
  <c r="V160" i="13"/>
  <c r="U160" i="13"/>
  <c r="T160" i="13"/>
  <c r="S160" i="13"/>
  <c r="R160" i="13"/>
  <c r="Q160" i="13"/>
  <c r="P160" i="13"/>
  <c r="V159" i="13"/>
  <c r="U159" i="13"/>
  <c r="T159" i="13"/>
  <c r="S159" i="13"/>
  <c r="R159" i="13"/>
  <c r="Q159" i="13"/>
  <c r="P159" i="13"/>
  <c r="V158" i="13"/>
  <c r="U158" i="13"/>
  <c r="T158" i="13"/>
  <c r="S158" i="13"/>
  <c r="R158" i="13"/>
  <c r="Q158" i="13"/>
  <c r="P158" i="13"/>
  <c r="V157" i="13"/>
  <c r="U157" i="13"/>
  <c r="T157" i="13"/>
  <c r="S157" i="13"/>
  <c r="R157" i="13"/>
  <c r="Q157" i="13"/>
  <c r="P157" i="13"/>
  <c r="V156" i="13"/>
  <c r="U156" i="13"/>
  <c r="T156" i="13"/>
  <c r="S156" i="13"/>
  <c r="R156" i="13"/>
  <c r="Q156" i="13"/>
  <c r="P156" i="13"/>
  <c r="V155" i="13"/>
  <c r="U155" i="13"/>
  <c r="T155" i="13"/>
  <c r="S155" i="13"/>
  <c r="R155" i="13"/>
  <c r="Q155" i="13"/>
  <c r="P155" i="13"/>
  <c r="V154" i="13"/>
  <c r="U154" i="13"/>
  <c r="T154" i="13"/>
  <c r="S154" i="13"/>
  <c r="R154" i="13"/>
  <c r="Q154" i="13"/>
  <c r="P154" i="13"/>
  <c r="V153" i="13"/>
  <c r="U153" i="13"/>
  <c r="T153" i="13"/>
  <c r="S153" i="13"/>
  <c r="R153" i="13"/>
  <c r="Q153" i="13"/>
  <c r="P153" i="13"/>
  <c r="V152" i="13"/>
  <c r="U152" i="13"/>
  <c r="T152" i="13"/>
  <c r="S152" i="13"/>
  <c r="R152" i="13"/>
  <c r="Q152" i="13"/>
  <c r="P152" i="13"/>
  <c r="V151" i="13"/>
  <c r="U151" i="13"/>
  <c r="T151" i="13"/>
  <c r="S151" i="13"/>
  <c r="R151" i="13"/>
  <c r="Q151" i="13"/>
  <c r="P151" i="13"/>
  <c r="V150" i="13"/>
  <c r="U150" i="13"/>
  <c r="T150" i="13"/>
  <c r="S150" i="13"/>
  <c r="R150" i="13"/>
  <c r="Q150" i="13"/>
  <c r="P150" i="13"/>
  <c r="V149" i="13"/>
  <c r="U149" i="13"/>
  <c r="T149" i="13"/>
  <c r="S149" i="13"/>
  <c r="R149" i="13"/>
  <c r="Q149" i="13"/>
  <c r="P149" i="13"/>
  <c r="V148" i="13"/>
  <c r="U148" i="13"/>
  <c r="T148" i="13"/>
  <c r="S148" i="13"/>
  <c r="R148" i="13"/>
  <c r="Q148" i="13"/>
  <c r="P148" i="13"/>
  <c r="V147" i="13"/>
  <c r="U147" i="13"/>
  <c r="T147" i="13"/>
  <c r="S147" i="13"/>
  <c r="R147" i="13"/>
  <c r="Q147" i="13"/>
  <c r="P147" i="13"/>
  <c r="V146" i="13"/>
  <c r="U146" i="13"/>
  <c r="T146" i="13"/>
  <c r="S146" i="13"/>
  <c r="R146" i="13"/>
  <c r="H43" i="5" s="1"/>
  <c r="Q146" i="13"/>
  <c r="P146" i="13"/>
  <c r="V145" i="13"/>
  <c r="U145" i="13"/>
  <c r="T145" i="13"/>
  <c r="S145" i="13"/>
  <c r="R145" i="13"/>
  <c r="Q145" i="13"/>
  <c r="P145" i="13"/>
  <c r="V144" i="13"/>
  <c r="U144" i="13"/>
  <c r="T144" i="13"/>
  <c r="S144" i="13"/>
  <c r="R144" i="13"/>
  <c r="Q144" i="13"/>
  <c r="P144" i="13"/>
  <c r="V143" i="13"/>
  <c r="U143" i="13"/>
  <c r="T143" i="13"/>
  <c r="S143" i="13"/>
  <c r="R143" i="13"/>
  <c r="Q143" i="13"/>
  <c r="G30" i="7" s="1"/>
  <c r="P143" i="13"/>
  <c r="V142" i="13"/>
  <c r="U142" i="13"/>
  <c r="T142" i="13"/>
  <c r="S142" i="13"/>
  <c r="R142" i="13"/>
  <c r="Q142" i="13"/>
  <c r="P142" i="13"/>
  <c r="V141" i="13"/>
  <c r="U141" i="13"/>
  <c r="T141" i="13"/>
  <c r="S141" i="13"/>
  <c r="R141" i="13"/>
  <c r="J14" i="11" s="1"/>
  <c r="Q141" i="13"/>
  <c r="P141" i="13"/>
  <c r="V140" i="13"/>
  <c r="U140" i="13"/>
  <c r="T140" i="13"/>
  <c r="S140" i="13"/>
  <c r="R140" i="13"/>
  <c r="Q140" i="13"/>
  <c r="P140" i="13"/>
  <c r="V139" i="13"/>
  <c r="U139" i="13"/>
  <c r="T139" i="13"/>
  <c r="S139" i="13"/>
  <c r="R139" i="13"/>
  <c r="Q139" i="13"/>
  <c r="P139" i="13"/>
  <c r="V138" i="13"/>
  <c r="U138" i="13"/>
  <c r="T138" i="13"/>
  <c r="S138" i="13"/>
  <c r="R138" i="13"/>
  <c r="H78" i="10" s="1"/>
  <c r="Q138" i="13"/>
  <c r="P138" i="13"/>
  <c r="V137" i="13"/>
  <c r="U137" i="13"/>
  <c r="T137" i="13"/>
  <c r="S137" i="13"/>
  <c r="R137" i="13"/>
  <c r="Q137" i="13"/>
  <c r="P137" i="13"/>
  <c r="V136" i="13"/>
  <c r="U136" i="13"/>
  <c r="T136" i="13"/>
  <c r="S136" i="13"/>
  <c r="R136" i="13"/>
  <c r="Q136" i="13"/>
  <c r="P136" i="13"/>
  <c r="V135" i="13"/>
  <c r="U135" i="13"/>
  <c r="T135" i="13"/>
  <c r="S135" i="13"/>
  <c r="R135" i="13"/>
  <c r="Q135" i="13"/>
  <c r="P135" i="13"/>
  <c r="V134" i="13"/>
  <c r="U134" i="13"/>
  <c r="T134" i="13"/>
  <c r="S134" i="13"/>
  <c r="R134" i="13"/>
  <c r="Q134" i="13"/>
  <c r="P134" i="13"/>
  <c r="V133" i="13"/>
  <c r="U133" i="13"/>
  <c r="T133" i="13"/>
  <c r="S133" i="13"/>
  <c r="R133" i="13"/>
  <c r="F31" i="4" s="1"/>
  <c r="Q133" i="13"/>
  <c r="P133" i="13"/>
  <c r="V132" i="13"/>
  <c r="U132" i="13"/>
  <c r="T132" i="13"/>
  <c r="S132" i="13"/>
  <c r="R132" i="13"/>
  <c r="Q132" i="13"/>
  <c r="P132" i="13"/>
  <c r="V131" i="13"/>
  <c r="U131" i="13"/>
  <c r="T131" i="13"/>
  <c r="S131" i="13"/>
  <c r="R131" i="13"/>
  <c r="Q131" i="13"/>
  <c r="P131" i="13"/>
  <c r="V130" i="13"/>
  <c r="U130" i="13"/>
  <c r="T130" i="13"/>
  <c r="S130" i="13"/>
  <c r="R130" i="13"/>
  <c r="Q130" i="13"/>
  <c r="P130" i="13"/>
  <c r="V129" i="13"/>
  <c r="U129" i="13"/>
  <c r="T129" i="13"/>
  <c r="S129" i="13"/>
  <c r="R129" i="13"/>
  <c r="Q129" i="13"/>
  <c r="P129" i="13"/>
  <c r="V128" i="13"/>
  <c r="U128" i="13"/>
  <c r="T128" i="13"/>
  <c r="S128" i="13"/>
  <c r="R128" i="13"/>
  <c r="Q128" i="13"/>
  <c r="P128" i="13"/>
  <c r="V127" i="13"/>
  <c r="U127" i="13"/>
  <c r="T127" i="13"/>
  <c r="S127" i="13"/>
  <c r="R127" i="13"/>
  <c r="Q127" i="13"/>
  <c r="P127" i="13"/>
  <c r="V126" i="13"/>
  <c r="U126" i="13"/>
  <c r="T126" i="13"/>
  <c r="S126" i="13"/>
  <c r="R126" i="13"/>
  <c r="Q126" i="13"/>
  <c r="P126" i="13"/>
  <c r="V125" i="13"/>
  <c r="U125" i="13"/>
  <c r="T125" i="13"/>
  <c r="S125" i="13"/>
  <c r="R125" i="13"/>
  <c r="Q125" i="13"/>
  <c r="P125" i="13"/>
  <c r="V124" i="13"/>
  <c r="U124" i="13"/>
  <c r="T124" i="13"/>
  <c r="S124" i="13"/>
  <c r="R124" i="13"/>
  <c r="Q124" i="13"/>
  <c r="P124" i="13"/>
  <c r="V123" i="13"/>
  <c r="U123" i="13"/>
  <c r="T123" i="13"/>
  <c r="S123" i="13"/>
  <c r="R123" i="13"/>
  <c r="I7" i="10" s="1"/>
  <c r="Q123" i="13"/>
  <c r="P123" i="13"/>
  <c r="V122" i="13"/>
  <c r="U122" i="13"/>
  <c r="T122" i="13"/>
  <c r="S122" i="13"/>
  <c r="R122" i="13"/>
  <c r="Q122" i="13"/>
  <c r="P122" i="13"/>
  <c r="V121" i="13"/>
  <c r="U121" i="13"/>
  <c r="T121" i="13"/>
  <c r="S121" i="13"/>
  <c r="R121" i="13"/>
  <c r="Q121" i="13"/>
  <c r="P121" i="13"/>
  <c r="V120" i="13"/>
  <c r="U120" i="13"/>
  <c r="T120" i="13"/>
  <c r="S120" i="13"/>
  <c r="R120" i="13"/>
  <c r="Q120" i="13"/>
  <c r="P120" i="13"/>
  <c r="V119" i="13"/>
  <c r="U119" i="13"/>
  <c r="T119" i="13"/>
  <c r="S119" i="13"/>
  <c r="R119" i="13"/>
  <c r="Q119" i="13"/>
  <c r="P119" i="13"/>
  <c r="V118" i="13"/>
  <c r="U118" i="13"/>
  <c r="T118" i="13"/>
  <c r="S118" i="13"/>
  <c r="R118" i="13"/>
  <c r="Q118" i="13"/>
  <c r="P118" i="13"/>
  <c r="V117" i="13"/>
  <c r="U117" i="13"/>
  <c r="T117" i="13"/>
  <c r="S117" i="13"/>
  <c r="R117" i="13"/>
  <c r="Q117" i="13"/>
  <c r="P117" i="13"/>
  <c r="V116" i="13"/>
  <c r="U116" i="13"/>
  <c r="T116" i="13"/>
  <c r="S116" i="13"/>
  <c r="R116" i="13"/>
  <c r="Q116" i="13"/>
  <c r="P116" i="13"/>
  <c r="V115" i="13"/>
  <c r="U115" i="13"/>
  <c r="T115" i="13"/>
  <c r="S115" i="13"/>
  <c r="R115" i="13"/>
  <c r="Q115" i="13"/>
  <c r="P115" i="13"/>
  <c r="V114" i="13"/>
  <c r="U114" i="13"/>
  <c r="T114" i="13"/>
  <c r="S114" i="13"/>
  <c r="R114" i="13"/>
  <c r="Q114" i="13"/>
  <c r="P114" i="13"/>
  <c r="V113" i="13"/>
  <c r="U113" i="13"/>
  <c r="T113" i="13"/>
  <c r="S113" i="13"/>
  <c r="R113" i="13"/>
  <c r="Q113" i="13"/>
  <c r="P113" i="13"/>
  <c r="V112" i="13"/>
  <c r="U112" i="13"/>
  <c r="T112" i="13"/>
  <c r="S112" i="13"/>
  <c r="R112" i="13"/>
  <c r="Q112" i="13"/>
  <c r="P112" i="13"/>
  <c r="V111" i="13"/>
  <c r="U111" i="13"/>
  <c r="T111" i="13"/>
  <c r="S111" i="13"/>
  <c r="R111" i="13"/>
  <c r="Q111" i="13"/>
  <c r="P111" i="13"/>
  <c r="V110" i="13"/>
  <c r="U110" i="13"/>
  <c r="T110" i="13"/>
  <c r="S110" i="13"/>
  <c r="R110" i="13"/>
  <c r="Q110" i="13"/>
  <c r="P110" i="13"/>
  <c r="V109" i="13"/>
  <c r="U109" i="13"/>
  <c r="T109" i="13"/>
  <c r="S109" i="13"/>
  <c r="R109" i="13"/>
  <c r="Q109" i="13"/>
  <c r="P109" i="13"/>
  <c r="V108" i="13"/>
  <c r="U108" i="13"/>
  <c r="T108" i="13"/>
  <c r="S108" i="13"/>
  <c r="R108" i="13"/>
  <c r="Q108" i="13"/>
  <c r="P108" i="13"/>
  <c r="V107" i="13"/>
  <c r="U107" i="13"/>
  <c r="T107" i="13"/>
  <c r="S107" i="13"/>
  <c r="R107" i="13"/>
  <c r="Q107" i="13"/>
  <c r="P107" i="13"/>
  <c r="V106" i="13"/>
  <c r="U106" i="13"/>
  <c r="T106" i="13"/>
  <c r="S106" i="13"/>
  <c r="R106" i="13"/>
  <c r="Q106" i="13"/>
  <c r="P106" i="13"/>
  <c r="V105" i="13"/>
  <c r="U105" i="13"/>
  <c r="T105" i="13"/>
  <c r="S105" i="13"/>
  <c r="R105" i="13"/>
  <c r="Q105" i="13"/>
  <c r="P105" i="13"/>
  <c r="V104" i="13"/>
  <c r="U104" i="13"/>
  <c r="T104" i="13"/>
  <c r="S104" i="13"/>
  <c r="R104" i="13"/>
  <c r="Q104" i="13"/>
  <c r="P104" i="13"/>
  <c r="V103" i="13"/>
  <c r="U103" i="13"/>
  <c r="T103" i="13"/>
  <c r="S103" i="13"/>
  <c r="R103" i="13"/>
  <c r="Q103" i="13"/>
  <c r="P103" i="13"/>
  <c r="V102" i="13"/>
  <c r="U102" i="13"/>
  <c r="T102" i="13"/>
  <c r="S102" i="13"/>
  <c r="R102" i="13"/>
  <c r="Q102" i="13"/>
  <c r="P102" i="13"/>
  <c r="V101" i="13"/>
  <c r="U101" i="13"/>
  <c r="T101" i="13"/>
  <c r="S101" i="13"/>
  <c r="R101" i="13"/>
  <c r="Q101" i="13"/>
  <c r="P101" i="13"/>
  <c r="V100" i="13"/>
  <c r="U100" i="13"/>
  <c r="T100" i="13"/>
  <c r="S100" i="13"/>
  <c r="R100" i="13"/>
  <c r="Q100" i="13"/>
  <c r="P100" i="13"/>
  <c r="V99" i="13"/>
  <c r="U99" i="13"/>
  <c r="T99" i="13"/>
  <c r="S99" i="13"/>
  <c r="R99" i="13"/>
  <c r="Q99" i="13"/>
  <c r="P99" i="13"/>
  <c r="V98" i="13"/>
  <c r="U98" i="13"/>
  <c r="T98" i="13"/>
  <c r="S98" i="13"/>
  <c r="R98" i="13"/>
  <c r="Q98" i="13"/>
  <c r="P98" i="13"/>
  <c r="V97" i="13"/>
  <c r="U97" i="13"/>
  <c r="T97" i="13"/>
  <c r="S97" i="13"/>
  <c r="R97" i="13"/>
  <c r="Q97" i="13"/>
  <c r="P97" i="13"/>
  <c r="V96" i="13"/>
  <c r="U96" i="13"/>
  <c r="T96" i="13"/>
  <c r="S96" i="13"/>
  <c r="R96" i="13"/>
  <c r="Q96" i="13"/>
  <c r="P96" i="13"/>
  <c r="V95" i="13"/>
  <c r="U95" i="13"/>
  <c r="T95" i="13"/>
  <c r="S95" i="13"/>
  <c r="R95" i="13"/>
  <c r="Q95" i="13"/>
  <c r="P95" i="13"/>
  <c r="V94" i="13"/>
  <c r="U94" i="13"/>
  <c r="T94" i="13"/>
  <c r="S94" i="13"/>
  <c r="R94" i="13"/>
  <c r="Q94" i="13"/>
  <c r="P94" i="13"/>
  <c r="V93" i="13"/>
  <c r="U93" i="13"/>
  <c r="T93" i="13"/>
  <c r="S93" i="13"/>
  <c r="R93" i="13"/>
  <c r="Q93" i="13"/>
  <c r="P93" i="13"/>
  <c r="V92" i="13"/>
  <c r="U92" i="13"/>
  <c r="T92" i="13"/>
  <c r="S92" i="13"/>
  <c r="R92" i="13"/>
  <c r="Q92" i="13"/>
  <c r="P92" i="13"/>
  <c r="V91" i="13"/>
  <c r="U91" i="13"/>
  <c r="T91" i="13"/>
  <c r="S91" i="13"/>
  <c r="R91" i="13"/>
  <c r="Q91" i="13"/>
  <c r="P91" i="13"/>
  <c r="V90" i="13"/>
  <c r="U90" i="13"/>
  <c r="T90" i="13"/>
  <c r="S90" i="13"/>
  <c r="R90" i="13"/>
  <c r="Q90" i="13"/>
  <c r="D97" i="10" s="1"/>
  <c r="P90" i="13"/>
  <c r="V89" i="13"/>
  <c r="U89" i="13"/>
  <c r="T89" i="13"/>
  <c r="S89" i="13"/>
  <c r="R89" i="13"/>
  <c r="Q89" i="13"/>
  <c r="P89" i="13"/>
  <c r="V88" i="13"/>
  <c r="U88" i="13"/>
  <c r="T88" i="13"/>
  <c r="S88" i="13"/>
  <c r="R88" i="13"/>
  <c r="Q88" i="13"/>
  <c r="P88" i="13"/>
  <c r="V87" i="13"/>
  <c r="U87" i="13"/>
  <c r="T87" i="13"/>
  <c r="S87" i="13"/>
  <c r="R87" i="13"/>
  <c r="H81" i="10" s="1"/>
  <c r="Q87" i="13"/>
  <c r="D96" i="10" s="1"/>
  <c r="P87" i="13"/>
  <c r="V86" i="13"/>
  <c r="U86" i="13"/>
  <c r="T86" i="13"/>
  <c r="S86" i="13"/>
  <c r="R86" i="13"/>
  <c r="Q86" i="13"/>
  <c r="P86" i="13"/>
  <c r="V85" i="13"/>
  <c r="U85" i="13"/>
  <c r="T85" i="13"/>
  <c r="S85" i="13"/>
  <c r="R85" i="13"/>
  <c r="Q85" i="13"/>
  <c r="P85" i="13"/>
  <c r="V84" i="13"/>
  <c r="U84" i="13"/>
  <c r="T84" i="13"/>
  <c r="S84" i="13"/>
  <c r="R84" i="13"/>
  <c r="Q84" i="13"/>
  <c r="H31" i="8" s="1"/>
  <c r="P84" i="13"/>
  <c r="V83" i="13"/>
  <c r="U83" i="13"/>
  <c r="T83" i="13"/>
  <c r="S83" i="13"/>
  <c r="R83" i="13"/>
  <c r="Q83" i="13"/>
  <c r="P83" i="13"/>
  <c r="V82" i="13"/>
  <c r="U82" i="13"/>
  <c r="T82" i="13"/>
  <c r="S82" i="13"/>
  <c r="R82" i="13"/>
  <c r="Q82" i="13"/>
  <c r="P82" i="13"/>
  <c r="V81" i="13"/>
  <c r="U81" i="13"/>
  <c r="T81" i="13"/>
  <c r="S81" i="13"/>
  <c r="R81" i="13"/>
  <c r="Q81" i="13"/>
  <c r="P81" i="13"/>
  <c r="V80" i="13"/>
  <c r="U80" i="13"/>
  <c r="T80" i="13"/>
  <c r="S80" i="13"/>
  <c r="R80" i="13"/>
  <c r="Q80" i="13"/>
  <c r="P80" i="13"/>
  <c r="V79" i="13"/>
  <c r="U79" i="13"/>
  <c r="T79" i="13"/>
  <c r="S79" i="13"/>
  <c r="R79" i="13"/>
  <c r="Q79" i="13"/>
  <c r="P79" i="13"/>
  <c r="V78" i="13"/>
  <c r="H35" i="6" s="1"/>
  <c r="U78" i="13"/>
  <c r="T78" i="13"/>
  <c r="S78" i="13"/>
  <c r="R78" i="13"/>
  <c r="Q78" i="13"/>
  <c r="P78" i="13"/>
  <c r="V77" i="13"/>
  <c r="U77" i="13"/>
  <c r="T77" i="13"/>
  <c r="S77" i="13"/>
  <c r="R77" i="13"/>
  <c r="F14" i="11" s="1"/>
  <c r="Q77" i="13"/>
  <c r="P77" i="13"/>
  <c r="V76" i="13"/>
  <c r="U76" i="13"/>
  <c r="T76" i="13"/>
  <c r="S76" i="13"/>
  <c r="R76" i="13"/>
  <c r="Q76" i="13"/>
  <c r="P76" i="13"/>
  <c r="V75" i="13"/>
  <c r="U75" i="13"/>
  <c r="T75" i="13"/>
  <c r="S75" i="13"/>
  <c r="R75" i="13"/>
  <c r="Q75" i="13"/>
  <c r="P75" i="13"/>
  <c r="V74" i="13"/>
  <c r="U74" i="13"/>
  <c r="T74" i="13"/>
  <c r="S74" i="13"/>
  <c r="R74" i="13"/>
  <c r="Q74" i="13"/>
  <c r="P74" i="13"/>
  <c r="V73" i="13"/>
  <c r="U73" i="13"/>
  <c r="T73" i="13"/>
  <c r="S73" i="13"/>
  <c r="R73" i="13"/>
  <c r="Q73" i="13"/>
  <c r="P73" i="13"/>
  <c r="V72" i="13"/>
  <c r="U72" i="13"/>
  <c r="T72" i="13"/>
  <c r="S72" i="13"/>
  <c r="R72" i="13"/>
  <c r="Q72" i="13"/>
  <c r="P72" i="13"/>
  <c r="V71" i="13"/>
  <c r="U71" i="13"/>
  <c r="T71" i="13"/>
  <c r="S71" i="13"/>
  <c r="R71" i="13"/>
  <c r="Q71" i="13"/>
  <c r="P71" i="13"/>
  <c r="V70" i="13"/>
  <c r="U70" i="13"/>
  <c r="T70" i="13"/>
  <c r="S70" i="13"/>
  <c r="R70" i="13"/>
  <c r="Q70" i="13"/>
  <c r="P70" i="13"/>
  <c r="V69" i="13"/>
  <c r="U69" i="13"/>
  <c r="T69" i="13"/>
  <c r="S69" i="13"/>
  <c r="R69" i="13"/>
  <c r="Q69" i="13"/>
  <c r="P69" i="13"/>
  <c r="V68" i="13"/>
  <c r="U68" i="13"/>
  <c r="T68" i="13"/>
  <c r="S68" i="13"/>
  <c r="R68" i="13"/>
  <c r="Q68" i="13"/>
  <c r="P68" i="13"/>
  <c r="V67" i="13"/>
  <c r="U67" i="13"/>
  <c r="T67" i="13"/>
  <c r="S67" i="13"/>
  <c r="R67" i="13"/>
  <c r="Q67" i="13"/>
  <c r="P67" i="13"/>
  <c r="V66" i="13"/>
  <c r="U66" i="13"/>
  <c r="T66" i="13"/>
  <c r="S66" i="13"/>
  <c r="R66" i="13"/>
  <c r="Q66" i="13"/>
  <c r="P66" i="13"/>
  <c r="V65" i="13"/>
  <c r="U65" i="13"/>
  <c r="T65" i="13"/>
  <c r="S65" i="13"/>
  <c r="R65" i="13"/>
  <c r="Q65" i="13"/>
  <c r="P65" i="13"/>
  <c r="V64" i="13"/>
  <c r="U64" i="13"/>
  <c r="T64" i="13"/>
  <c r="S64" i="13"/>
  <c r="R64" i="13"/>
  <c r="Q64" i="13"/>
  <c r="P64" i="13"/>
  <c r="V63" i="13"/>
  <c r="U63" i="13"/>
  <c r="T63" i="13"/>
  <c r="S63" i="13"/>
  <c r="R63" i="13"/>
  <c r="I16" i="10" s="1"/>
  <c r="Q63" i="13"/>
  <c r="P63" i="13"/>
  <c r="V62" i="13"/>
  <c r="U62" i="13"/>
  <c r="T62" i="13"/>
  <c r="S62" i="13"/>
  <c r="R62" i="13"/>
  <c r="Q62" i="13"/>
  <c r="P62" i="13"/>
  <c r="V61" i="13"/>
  <c r="U61" i="13"/>
  <c r="T61" i="13"/>
  <c r="S61" i="13"/>
  <c r="R61" i="13"/>
  <c r="Q61" i="13"/>
  <c r="P61" i="13"/>
  <c r="V60" i="13"/>
  <c r="U60" i="13"/>
  <c r="T60" i="13"/>
  <c r="S60" i="13"/>
  <c r="R60" i="13"/>
  <c r="Q60" i="13"/>
  <c r="P60" i="13"/>
  <c r="V59" i="13"/>
  <c r="U59" i="13"/>
  <c r="T59" i="13"/>
  <c r="S59" i="13"/>
  <c r="R59" i="13"/>
  <c r="Q59" i="13"/>
  <c r="P59" i="13"/>
  <c r="V58" i="13"/>
  <c r="U58" i="13"/>
  <c r="T58" i="13"/>
  <c r="S58" i="13"/>
  <c r="R58" i="13"/>
  <c r="Q58" i="13"/>
  <c r="P58" i="13"/>
  <c r="V57" i="13"/>
  <c r="U57" i="13"/>
  <c r="T57" i="13"/>
  <c r="S57" i="13"/>
  <c r="R57" i="13"/>
  <c r="Q57" i="13"/>
  <c r="P57" i="13"/>
  <c r="V56" i="13"/>
  <c r="U56" i="13"/>
  <c r="T56" i="13"/>
  <c r="S56" i="13"/>
  <c r="R56" i="13"/>
  <c r="Q56" i="13"/>
  <c r="P56" i="13"/>
  <c r="V55" i="13"/>
  <c r="U55" i="13"/>
  <c r="T55" i="13"/>
  <c r="S55" i="13"/>
  <c r="R55" i="13"/>
  <c r="Q55" i="13"/>
  <c r="P55" i="13"/>
  <c r="V54" i="13"/>
  <c r="U54" i="13"/>
  <c r="T54" i="13"/>
  <c r="S54" i="13"/>
  <c r="R54" i="13"/>
  <c r="Q54" i="13"/>
  <c r="P54" i="13"/>
  <c r="V53" i="13"/>
  <c r="U53" i="13"/>
  <c r="T53" i="13"/>
  <c r="S53" i="13"/>
  <c r="R53" i="13"/>
  <c r="Q53" i="13"/>
  <c r="P53" i="13"/>
  <c r="V52" i="13"/>
  <c r="U52" i="13"/>
  <c r="T52" i="13"/>
  <c r="S52" i="13"/>
  <c r="R52" i="13"/>
  <c r="Q52" i="13"/>
  <c r="P52" i="13"/>
  <c r="V51" i="13"/>
  <c r="U51" i="13"/>
  <c r="T51" i="13"/>
  <c r="S51" i="13"/>
  <c r="R51" i="13"/>
  <c r="Q51" i="13"/>
  <c r="P51" i="13"/>
  <c r="V50" i="13"/>
  <c r="U50" i="13"/>
  <c r="T50" i="13"/>
  <c r="S50" i="13"/>
  <c r="R50" i="13"/>
  <c r="Q50" i="13"/>
  <c r="P50" i="13"/>
  <c r="V49" i="13"/>
  <c r="U49" i="13"/>
  <c r="T49" i="13"/>
  <c r="S49" i="13"/>
  <c r="R49" i="13"/>
  <c r="Q49" i="13"/>
  <c r="P49" i="13"/>
  <c r="V48" i="13"/>
  <c r="U48" i="13"/>
  <c r="T48" i="13"/>
  <c r="S48" i="13"/>
  <c r="R48" i="13"/>
  <c r="Q48" i="13"/>
  <c r="P48" i="13"/>
  <c r="V47" i="13"/>
  <c r="U47" i="13"/>
  <c r="T47" i="13"/>
  <c r="S47" i="13"/>
  <c r="R47" i="13"/>
  <c r="Q47" i="13"/>
  <c r="J42" i="3" s="1"/>
  <c r="P47" i="13"/>
  <c r="V46" i="13"/>
  <c r="U46" i="13"/>
  <c r="T46" i="13"/>
  <c r="S46" i="13"/>
  <c r="R46" i="13"/>
  <c r="Q46" i="13"/>
  <c r="P46" i="13"/>
  <c r="V45" i="13"/>
  <c r="U45" i="13"/>
  <c r="T45" i="13"/>
  <c r="S45" i="13"/>
  <c r="R45" i="13"/>
  <c r="Q45" i="13"/>
  <c r="P45" i="13"/>
  <c r="V44" i="13"/>
  <c r="U44" i="13"/>
  <c r="T44" i="13"/>
  <c r="S44" i="13"/>
  <c r="R44" i="13"/>
  <c r="Q44" i="13"/>
  <c r="P44" i="13"/>
  <c r="V43" i="13"/>
  <c r="E66" i="10" s="1"/>
  <c r="F30" i="6" s="1"/>
  <c r="U43" i="13"/>
  <c r="T43" i="13"/>
  <c r="S43" i="13"/>
  <c r="R43" i="13"/>
  <c r="Q43" i="13"/>
  <c r="P43" i="13"/>
  <c r="V42" i="13"/>
  <c r="U42" i="13"/>
  <c r="T42" i="13"/>
  <c r="S42" i="13"/>
  <c r="R42" i="13"/>
  <c r="Q42" i="13"/>
  <c r="P42" i="13"/>
  <c r="V41" i="13"/>
  <c r="U41" i="13"/>
  <c r="T41" i="13"/>
  <c r="S41" i="13"/>
  <c r="R41" i="13"/>
  <c r="Q41" i="13"/>
  <c r="P41" i="13"/>
  <c r="V40" i="13"/>
  <c r="U40" i="13"/>
  <c r="T40" i="13"/>
  <c r="S40" i="13"/>
  <c r="R40" i="13"/>
  <c r="Q40" i="13"/>
  <c r="P40" i="13"/>
  <c r="V39" i="13"/>
  <c r="U39" i="13"/>
  <c r="T39" i="13"/>
  <c r="S39" i="13"/>
  <c r="R39" i="13"/>
  <c r="Q39" i="13"/>
  <c r="P39" i="13"/>
  <c r="V38" i="13"/>
  <c r="U38" i="13"/>
  <c r="T38" i="13"/>
  <c r="S38" i="13"/>
  <c r="R38" i="13"/>
  <c r="Q38" i="13"/>
  <c r="P38" i="13"/>
  <c r="V37" i="13"/>
  <c r="U37" i="13"/>
  <c r="T37" i="13"/>
  <c r="S37" i="13"/>
  <c r="R37" i="13"/>
  <c r="Q37" i="13"/>
  <c r="P37" i="13"/>
  <c r="V36" i="13"/>
  <c r="U36" i="13"/>
  <c r="T36" i="13"/>
  <c r="S36" i="13"/>
  <c r="R36" i="13"/>
  <c r="Q36" i="13"/>
  <c r="P36" i="13"/>
  <c r="V35" i="13"/>
  <c r="U35" i="13"/>
  <c r="T35" i="13"/>
  <c r="S35" i="13"/>
  <c r="R35" i="13"/>
  <c r="Q35" i="13"/>
  <c r="P35" i="13"/>
  <c r="V34" i="13"/>
  <c r="U34" i="13"/>
  <c r="T34" i="13"/>
  <c r="S34" i="13"/>
  <c r="R34" i="13"/>
  <c r="Q34" i="13"/>
  <c r="P34" i="13"/>
  <c r="V33" i="13"/>
  <c r="U33" i="13"/>
  <c r="T33" i="13"/>
  <c r="S33" i="13"/>
  <c r="R33" i="13"/>
  <c r="Q33" i="13"/>
  <c r="P33" i="13"/>
  <c r="V32" i="13"/>
  <c r="U32" i="13"/>
  <c r="T32" i="13"/>
  <c r="S32" i="13"/>
  <c r="R32" i="13"/>
  <c r="Q32" i="13"/>
  <c r="P32" i="13"/>
  <c r="V31" i="13"/>
  <c r="U31" i="13"/>
  <c r="T31" i="13"/>
  <c r="S31" i="13"/>
  <c r="R31" i="13"/>
  <c r="Q31" i="13"/>
  <c r="P31" i="13"/>
  <c r="V30" i="13"/>
  <c r="U30" i="13"/>
  <c r="T30" i="13"/>
  <c r="S30" i="13"/>
  <c r="R30" i="13"/>
  <c r="Q30" i="13"/>
  <c r="P30" i="13"/>
  <c r="V29" i="13"/>
  <c r="U29" i="13"/>
  <c r="T29" i="13"/>
  <c r="S29" i="13"/>
  <c r="R29" i="13"/>
  <c r="Q29" i="13"/>
  <c r="B98" i="10" s="1"/>
  <c r="P29" i="13"/>
  <c r="V28" i="13"/>
  <c r="U28" i="13"/>
  <c r="T28" i="13"/>
  <c r="S28" i="13"/>
  <c r="R28" i="13"/>
  <c r="Q28" i="13"/>
  <c r="P28" i="13"/>
  <c r="V27" i="13"/>
  <c r="U27" i="13"/>
  <c r="T27" i="13"/>
  <c r="S27" i="13"/>
  <c r="R27" i="13"/>
  <c r="L8" i="1" s="1"/>
  <c r="Q27" i="13"/>
  <c r="P27" i="13"/>
  <c r="V26" i="13"/>
  <c r="U26" i="13"/>
  <c r="T26" i="13"/>
  <c r="S26" i="13"/>
  <c r="R26" i="13"/>
  <c r="Q26" i="13"/>
  <c r="P26" i="13"/>
  <c r="V25" i="13"/>
  <c r="U25" i="13"/>
  <c r="T25" i="13"/>
  <c r="S25" i="13"/>
  <c r="R25" i="13"/>
  <c r="Q25" i="13"/>
  <c r="P25" i="13"/>
  <c r="V24" i="13"/>
  <c r="U24" i="13"/>
  <c r="T24" i="13"/>
  <c r="S24" i="13"/>
  <c r="R24" i="13"/>
  <c r="Q24" i="13"/>
  <c r="P24" i="13"/>
  <c r="V23" i="13"/>
  <c r="U23" i="13"/>
  <c r="T23" i="13"/>
  <c r="S23" i="13"/>
  <c r="R23" i="13"/>
  <c r="Q23" i="13"/>
  <c r="P23" i="13"/>
  <c r="V22" i="13"/>
  <c r="U22" i="13"/>
  <c r="T22" i="13"/>
  <c r="S22" i="13"/>
  <c r="R22" i="13"/>
  <c r="Q22" i="13"/>
  <c r="P22" i="13"/>
  <c r="V21" i="13"/>
  <c r="U21" i="13"/>
  <c r="T21" i="13"/>
  <c r="S21" i="13"/>
  <c r="R21" i="13"/>
  <c r="Q21" i="13"/>
  <c r="P21" i="13"/>
  <c r="V20" i="13"/>
  <c r="U20" i="13"/>
  <c r="T20" i="13"/>
  <c r="S20" i="13"/>
  <c r="R20" i="13"/>
  <c r="Q20" i="13"/>
  <c r="P20" i="13"/>
  <c r="V19" i="13"/>
  <c r="U19" i="13"/>
  <c r="T19" i="13"/>
  <c r="S19" i="13"/>
  <c r="R19" i="13"/>
  <c r="Q19" i="13"/>
  <c r="P19" i="13"/>
  <c r="V18" i="13"/>
  <c r="U18" i="13"/>
  <c r="T18" i="13"/>
  <c r="S18" i="13"/>
  <c r="R18" i="13"/>
  <c r="Q18" i="13"/>
  <c r="P18" i="13"/>
  <c r="V17" i="13"/>
  <c r="U17" i="13"/>
  <c r="T17" i="13"/>
  <c r="S17" i="13"/>
  <c r="R17" i="13"/>
  <c r="Q17" i="13"/>
  <c r="P17" i="13"/>
  <c r="V16" i="13"/>
  <c r="U16" i="13"/>
  <c r="T16" i="13"/>
  <c r="S16" i="13"/>
  <c r="R16" i="13"/>
  <c r="Q16" i="13"/>
  <c r="P16" i="13"/>
  <c r="V15" i="13"/>
  <c r="U15" i="13"/>
  <c r="T15" i="13"/>
  <c r="S15" i="13"/>
  <c r="R15" i="13"/>
  <c r="Q15" i="13"/>
  <c r="P15" i="13"/>
  <c r="V14" i="13"/>
  <c r="U14" i="13"/>
  <c r="T14" i="13"/>
  <c r="S14" i="13"/>
  <c r="R14" i="13"/>
  <c r="Q14" i="13"/>
  <c r="P14" i="13"/>
  <c r="V13" i="13"/>
  <c r="U13" i="13"/>
  <c r="T13" i="13"/>
  <c r="S13" i="13"/>
  <c r="R13" i="13"/>
  <c r="Q13" i="13"/>
  <c r="P13" i="13"/>
  <c r="V12" i="13"/>
  <c r="U12" i="13"/>
  <c r="T12" i="13"/>
  <c r="S12" i="13"/>
  <c r="R12" i="13"/>
  <c r="Q12" i="13"/>
  <c r="P12" i="13"/>
  <c r="V11" i="13"/>
  <c r="U11" i="13"/>
  <c r="T11" i="13"/>
  <c r="S11" i="13"/>
  <c r="R11" i="13"/>
  <c r="Q11" i="13"/>
  <c r="P11" i="13"/>
  <c r="V10" i="13"/>
  <c r="U10" i="13"/>
  <c r="T10" i="13"/>
  <c r="S10" i="13"/>
  <c r="R10" i="13"/>
  <c r="Q10" i="13"/>
  <c r="P10" i="13"/>
  <c r="V9" i="13"/>
  <c r="U9" i="13"/>
  <c r="T9" i="13"/>
  <c r="S9" i="13"/>
  <c r="R9" i="13"/>
  <c r="Q9" i="13"/>
  <c r="P9" i="13"/>
  <c r="V8" i="13"/>
  <c r="U8" i="13"/>
  <c r="T8" i="13"/>
  <c r="S8" i="13"/>
  <c r="R8" i="13"/>
  <c r="Q8" i="13"/>
  <c r="P8" i="13"/>
  <c r="V7" i="13"/>
  <c r="U7" i="13"/>
  <c r="T7" i="13"/>
  <c r="S7" i="13"/>
  <c r="R7" i="13"/>
  <c r="Q7" i="13"/>
  <c r="P7" i="13"/>
  <c r="V6" i="13"/>
  <c r="U6" i="13"/>
  <c r="T6" i="13"/>
  <c r="S6" i="13"/>
  <c r="R6" i="13"/>
  <c r="Q6" i="13"/>
  <c r="P6" i="13"/>
  <c r="V5" i="13"/>
  <c r="U5" i="13"/>
  <c r="T5" i="13"/>
  <c r="S5" i="13"/>
  <c r="R5" i="13"/>
  <c r="Q5" i="13"/>
  <c r="P5" i="13"/>
  <c r="A42" i="10" s="1"/>
  <c r="V4" i="13"/>
  <c r="U4" i="13"/>
  <c r="T4" i="13"/>
  <c r="S4" i="13"/>
  <c r="R4" i="13"/>
  <c r="Q4" i="13"/>
  <c r="P4" i="13"/>
  <c r="V3" i="13"/>
  <c r="U3" i="13"/>
  <c r="T3" i="13"/>
  <c r="S3" i="13"/>
  <c r="B63" i="11" s="1"/>
  <c r="R3" i="13"/>
  <c r="Q3" i="13"/>
  <c r="P3" i="13"/>
  <c r="V2" i="13"/>
  <c r="U2" i="13"/>
  <c r="T2" i="13"/>
  <c r="S2" i="13"/>
  <c r="R2" i="13"/>
  <c r="Q2" i="13"/>
  <c r="P2" i="13"/>
  <c r="C78" i="12"/>
  <c r="C77" i="12"/>
  <c r="C76" i="12"/>
  <c r="C75" i="12"/>
  <c r="C74" i="12"/>
  <c r="C73" i="12"/>
  <c r="C72" i="12"/>
  <c r="C71" i="12"/>
  <c r="C70" i="12"/>
  <c r="C69" i="12"/>
  <c r="C68" i="12"/>
  <c r="C67" i="12"/>
  <c r="C66" i="12"/>
  <c r="C65" i="12"/>
  <c r="C64" i="12"/>
  <c r="C63" i="12"/>
  <c r="C62" i="12"/>
  <c r="C61" i="12"/>
  <c r="C60" i="12"/>
  <c r="C59" i="12"/>
  <c r="C58" i="12"/>
  <c r="C57" i="12"/>
  <c r="C56" i="12"/>
  <c r="C55" i="12"/>
  <c r="C54" i="12"/>
  <c r="C53" i="12"/>
  <c r="C52" i="12"/>
  <c r="C51" i="12"/>
  <c r="C50" i="12"/>
  <c r="C49" i="12"/>
  <c r="C48" i="12"/>
  <c r="C47" i="12"/>
  <c r="C46" i="12"/>
  <c r="C45" i="12"/>
  <c r="C44" i="12"/>
  <c r="C43" i="12"/>
  <c r="C42" i="12"/>
  <c r="C41" i="12"/>
  <c r="C40" i="12"/>
  <c r="C39" i="12"/>
  <c r="C38" i="12"/>
  <c r="C37" i="12"/>
  <c r="C36" i="12"/>
  <c r="C35" i="12"/>
  <c r="C34" i="12"/>
  <c r="C33" i="12"/>
  <c r="C28" i="12"/>
  <c r="C27" i="12"/>
  <c r="C26" i="12"/>
  <c r="C25" i="12"/>
  <c r="C24" i="12"/>
  <c r="C23" i="12"/>
  <c r="C22" i="12"/>
  <c r="C21" i="12"/>
  <c r="C20" i="12"/>
  <c r="C19" i="12"/>
  <c r="C18" i="12"/>
  <c r="C17" i="12"/>
  <c r="C16" i="12"/>
  <c r="C15" i="12"/>
  <c r="D11" i="12"/>
  <c r="D10" i="12"/>
  <c r="D9" i="12"/>
  <c r="D8" i="12"/>
  <c r="C8" i="12"/>
  <c r="D7" i="12"/>
  <c r="C7" i="12"/>
  <c r="D6" i="12"/>
  <c r="C6" i="12"/>
  <c r="B82" i="11"/>
  <c r="B81" i="11"/>
  <c r="F70" i="11"/>
  <c r="D70" i="11"/>
  <c r="C41" i="4" s="1"/>
  <c r="F69" i="11"/>
  <c r="E40" i="4" s="1"/>
  <c r="D69" i="11"/>
  <c r="F68" i="11"/>
  <c r="D68" i="11"/>
  <c r="C39" i="4" s="1"/>
  <c r="F67" i="11"/>
  <c r="D67" i="11"/>
  <c r="C38" i="4" s="1"/>
  <c r="B45" i="11"/>
  <c r="B44" i="11"/>
  <c r="C39" i="7" s="1"/>
  <c r="B43" i="11"/>
  <c r="B42" i="11"/>
  <c r="C37" i="7" s="1"/>
  <c r="D37" i="11"/>
  <c r="C37" i="11"/>
  <c r="B37" i="11"/>
  <c r="B36" i="11"/>
  <c r="D36" i="11" s="1"/>
  <c r="B35" i="11"/>
  <c r="B34" i="11"/>
  <c r="H41" i="7" s="1"/>
  <c r="B33" i="11"/>
  <c r="D33" i="11" s="1"/>
  <c r="D32" i="11"/>
  <c r="C32" i="11"/>
  <c r="I39" i="7" s="1"/>
  <c r="B32" i="11"/>
  <c r="H39" i="7" s="1"/>
  <c r="B31" i="11"/>
  <c r="B30" i="11"/>
  <c r="C23" i="11"/>
  <c r="B23" i="11"/>
  <c r="C22" i="11"/>
  <c r="D22" i="11" s="1"/>
  <c r="E22" i="11" s="1"/>
  <c r="B22" i="11"/>
  <c r="J15" i="11"/>
  <c r="I15" i="11"/>
  <c r="H15" i="11"/>
  <c r="G15" i="11"/>
  <c r="F15" i="11"/>
  <c r="E15" i="11"/>
  <c r="D15" i="11"/>
  <c r="C15" i="11"/>
  <c r="B15" i="11"/>
  <c r="I14" i="11"/>
  <c r="J13" i="11"/>
  <c r="I13" i="11"/>
  <c r="H13" i="11"/>
  <c r="G13" i="11"/>
  <c r="F13" i="11"/>
  <c r="E13" i="11"/>
  <c r="D13" i="11"/>
  <c r="C13" i="11"/>
  <c r="B13" i="11"/>
  <c r="J12" i="11"/>
  <c r="I12" i="11"/>
  <c r="H12" i="11"/>
  <c r="G12" i="11"/>
  <c r="F12" i="11"/>
  <c r="E12" i="11"/>
  <c r="D12" i="11"/>
  <c r="C12" i="11"/>
  <c r="B12" i="11"/>
  <c r="J11" i="11"/>
  <c r="I11" i="11"/>
  <c r="H11" i="11"/>
  <c r="G11" i="11"/>
  <c r="F11" i="11"/>
  <c r="E11" i="11"/>
  <c r="D11" i="11"/>
  <c r="C11" i="11"/>
  <c r="B11" i="11"/>
  <c r="J10" i="11"/>
  <c r="I10" i="11"/>
  <c r="H10" i="11"/>
  <c r="G10" i="11"/>
  <c r="F10" i="11"/>
  <c r="E10" i="11"/>
  <c r="D10" i="11"/>
  <c r="C10" i="11"/>
  <c r="B10" i="11"/>
  <c r="J8" i="11"/>
  <c r="I8" i="11"/>
  <c r="H8" i="11"/>
  <c r="G8" i="11"/>
  <c r="F8" i="11"/>
  <c r="E8" i="11"/>
  <c r="D8" i="11"/>
  <c r="C8" i="11"/>
  <c r="B8" i="11"/>
  <c r="J7" i="11"/>
  <c r="I7" i="11"/>
  <c r="H7" i="11"/>
  <c r="G7" i="11"/>
  <c r="F7" i="11"/>
  <c r="E7" i="11"/>
  <c r="D7" i="11"/>
  <c r="C7" i="11"/>
  <c r="B7" i="11"/>
  <c r="J6" i="11"/>
  <c r="I6" i="11"/>
  <c r="H6" i="11"/>
  <c r="G6" i="11"/>
  <c r="F6" i="11"/>
  <c r="E6" i="11"/>
  <c r="D6" i="11"/>
  <c r="C6" i="11"/>
  <c r="B6" i="11"/>
  <c r="E111" i="10"/>
  <c r="D111" i="10"/>
  <c r="C111" i="10"/>
  <c r="B111" i="10"/>
  <c r="E110" i="10"/>
  <c r="D110" i="10"/>
  <c r="C110" i="10"/>
  <c r="B110" i="10"/>
  <c r="E109" i="10"/>
  <c r="M96" i="1" s="1"/>
  <c r="D109" i="10"/>
  <c r="C109" i="10"/>
  <c r="B109" i="10"/>
  <c r="E108" i="10"/>
  <c r="D108" i="10"/>
  <c r="C108" i="10"/>
  <c r="B108" i="10"/>
  <c r="E107" i="10"/>
  <c r="D107" i="10"/>
  <c r="C107" i="10"/>
  <c r="B107" i="10"/>
  <c r="E106" i="10"/>
  <c r="M93" i="1" s="1"/>
  <c r="D106" i="10"/>
  <c r="C106" i="10"/>
  <c r="B106" i="10"/>
  <c r="E91" i="10"/>
  <c r="L98" i="1" s="1"/>
  <c r="D91" i="10"/>
  <c r="K98" i="1" s="1"/>
  <c r="C91" i="10"/>
  <c r="J98" i="1" s="1"/>
  <c r="B91" i="10"/>
  <c r="E90" i="10"/>
  <c r="D90" i="10"/>
  <c r="C90" i="10"/>
  <c r="B90" i="10"/>
  <c r="E89" i="10"/>
  <c r="L96" i="1" s="1"/>
  <c r="D89" i="10"/>
  <c r="K96" i="1" s="1"/>
  <c r="C89" i="10"/>
  <c r="J96" i="1" s="1"/>
  <c r="B89" i="10"/>
  <c r="I96" i="1" s="1"/>
  <c r="E88" i="10"/>
  <c r="L95" i="1" s="1"/>
  <c r="D88" i="10"/>
  <c r="K95" i="1" s="1"/>
  <c r="C88" i="10"/>
  <c r="J95" i="1" s="1"/>
  <c r="B88" i="10"/>
  <c r="E87" i="10"/>
  <c r="D87" i="10"/>
  <c r="C87" i="10"/>
  <c r="B87" i="10"/>
  <c r="I94" i="1" s="1"/>
  <c r="E86" i="10"/>
  <c r="L93" i="1" s="1"/>
  <c r="D86" i="10"/>
  <c r="K93" i="1" s="1"/>
  <c r="C86" i="10"/>
  <c r="J93" i="1" s="1"/>
  <c r="B86" i="10"/>
  <c r="I93" i="1" s="1"/>
  <c r="G81" i="10"/>
  <c r="E81" i="10"/>
  <c r="D81" i="10"/>
  <c r="G80" i="10"/>
  <c r="E80" i="10"/>
  <c r="D80" i="10"/>
  <c r="G79" i="10"/>
  <c r="E79" i="10"/>
  <c r="D79" i="10"/>
  <c r="G78" i="10"/>
  <c r="E78" i="10"/>
  <c r="D78" i="10"/>
  <c r="G77" i="10"/>
  <c r="E77" i="10"/>
  <c r="D77" i="10"/>
  <c r="F66" i="10"/>
  <c r="G30" i="6" s="1"/>
  <c r="J38" i="10"/>
  <c r="H38" i="10"/>
  <c r="F38" i="10"/>
  <c r="E38" i="10"/>
  <c r="J37" i="10"/>
  <c r="I37" i="10"/>
  <c r="H37" i="10"/>
  <c r="G37" i="10"/>
  <c r="F37" i="10" a="1"/>
  <c r="F37" i="10" s="1"/>
  <c r="E37" i="10"/>
  <c r="D37" i="10"/>
  <c r="B37" i="10"/>
  <c r="J36" i="10"/>
  <c r="H36" i="10"/>
  <c r="F36" i="10" a="1"/>
  <c r="F36" i="10"/>
  <c r="E36" i="10"/>
  <c r="D36" i="10"/>
  <c r="B36" i="10"/>
  <c r="J35" i="10"/>
  <c r="H35" i="10"/>
  <c r="F35" i="10" a="1"/>
  <c r="F35" i="10"/>
  <c r="E35" i="10"/>
  <c r="D35" i="10"/>
  <c r="B35" i="10"/>
  <c r="J34" i="10"/>
  <c r="H34" i="10"/>
  <c r="F34" i="10" a="1"/>
  <c r="F34" i="10" s="1"/>
  <c r="E34" i="10"/>
  <c r="D34" i="10"/>
  <c r="B34" i="10"/>
  <c r="J33" i="10"/>
  <c r="H33" i="10"/>
  <c r="F33" i="10" a="1"/>
  <c r="F33" i="10"/>
  <c r="E33" i="10"/>
  <c r="D33" i="10"/>
  <c r="B33" i="10"/>
  <c r="J32" i="10"/>
  <c r="H32" i="10"/>
  <c r="F32" i="10" a="1"/>
  <c r="F32" i="10" s="1"/>
  <c r="E32" i="10"/>
  <c r="D32" i="10"/>
  <c r="B32" i="10"/>
  <c r="J28" i="10"/>
  <c r="H28" i="10"/>
  <c r="F28" i="10"/>
  <c r="E28" i="10"/>
  <c r="J27" i="10"/>
  <c r="H27" i="10"/>
  <c r="G27" i="10"/>
  <c r="F27" i="10" a="1"/>
  <c r="F27" i="10"/>
  <c r="E27" i="10"/>
  <c r="D27" i="10"/>
  <c r="B27" i="10"/>
  <c r="J26" i="10"/>
  <c r="H26" i="10"/>
  <c r="F26" i="10" a="1"/>
  <c r="F26" i="10"/>
  <c r="E26" i="10"/>
  <c r="D26" i="10"/>
  <c r="B26" i="10"/>
  <c r="J25" i="10"/>
  <c r="H25" i="10"/>
  <c r="F25" i="10" a="1"/>
  <c r="F25" i="10"/>
  <c r="E25" i="10"/>
  <c r="D25" i="10"/>
  <c r="B25" i="10"/>
  <c r="J24" i="10"/>
  <c r="H24" i="10"/>
  <c r="F24" i="10" a="1"/>
  <c r="F24" i="10"/>
  <c r="E24" i="10"/>
  <c r="D24" i="10"/>
  <c r="D28" i="10" s="1"/>
  <c r="B24" i="10"/>
  <c r="J23" i="10"/>
  <c r="H23" i="10"/>
  <c r="F23" i="10" a="1"/>
  <c r="F23" i="10" s="1"/>
  <c r="E23" i="10"/>
  <c r="D23" i="10"/>
  <c r="B23" i="10"/>
  <c r="J19" i="10"/>
  <c r="H19" i="10"/>
  <c r="F19" i="10"/>
  <c r="E19" i="10"/>
  <c r="J18" i="10"/>
  <c r="H18" i="10"/>
  <c r="F18" i="10" a="1"/>
  <c r="F18" i="10" s="1"/>
  <c r="E18" i="10"/>
  <c r="D18" i="10"/>
  <c r="B18" i="10"/>
  <c r="J17" i="10"/>
  <c r="H17" i="10"/>
  <c r="F17" i="10" a="1"/>
  <c r="F17" i="10"/>
  <c r="E17" i="10"/>
  <c r="D17" i="10"/>
  <c r="B17" i="10"/>
  <c r="J16" i="10"/>
  <c r="H16" i="10"/>
  <c r="F16" i="10" a="1"/>
  <c r="F16" i="10"/>
  <c r="E16" i="10"/>
  <c r="D16" i="10"/>
  <c r="B16" i="10"/>
  <c r="J12" i="10"/>
  <c r="H12" i="10"/>
  <c r="G12" i="10"/>
  <c r="F12" i="10"/>
  <c r="E12" i="10"/>
  <c r="J11" i="10"/>
  <c r="H11" i="10"/>
  <c r="G11" i="10"/>
  <c r="F11" i="10" a="1"/>
  <c r="F11" i="10"/>
  <c r="E11" i="10"/>
  <c r="D11" i="10"/>
  <c r="B11" i="10"/>
  <c r="J10" i="10"/>
  <c r="H10" i="10"/>
  <c r="F10" i="10" a="1"/>
  <c r="F10" i="10" s="1"/>
  <c r="E10" i="10"/>
  <c r="D10" i="10"/>
  <c r="B10" i="10"/>
  <c r="J9" i="10"/>
  <c r="H9" i="10"/>
  <c r="F9" i="10" a="1"/>
  <c r="F9" i="10" s="1"/>
  <c r="E9" i="10"/>
  <c r="D9" i="10"/>
  <c r="B9" i="10"/>
  <c r="J8" i="10"/>
  <c r="H8" i="10"/>
  <c r="F8" i="10" a="1"/>
  <c r="F8" i="10"/>
  <c r="E8" i="10"/>
  <c r="D8" i="10"/>
  <c r="B8" i="10"/>
  <c r="J7" i="10"/>
  <c r="H7" i="10"/>
  <c r="F7" i="10" a="1"/>
  <c r="F7" i="10"/>
  <c r="E7" i="10"/>
  <c r="D7" i="10"/>
  <c r="B7" i="10"/>
  <c r="J6" i="10"/>
  <c r="H6" i="10"/>
  <c r="F6" i="10" a="1"/>
  <c r="F6" i="10"/>
  <c r="E6" i="10"/>
  <c r="D6" i="10"/>
  <c r="B6" i="10"/>
  <c r="J36" i="9"/>
  <c r="I36" i="9"/>
  <c r="G36" i="9"/>
  <c r="F36" i="9"/>
  <c r="E36" i="9"/>
  <c r="C36" i="9"/>
  <c r="D34" i="9" s="1"/>
  <c r="J35" i="9"/>
  <c r="I35" i="9"/>
  <c r="G35" i="9"/>
  <c r="F35" i="9" a="1"/>
  <c r="F35" i="9" s="1"/>
  <c r="E35" i="9"/>
  <c r="C35" i="9"/>
  <c r="J34" i="9"/>
  <c r="I34" i="9"/>
  <c r="G34" i="9"/>
  <c r="I16" i="9" s="1"/>
  <c r="F34" i="9" a="1"/>
  <c r="F34" i="9" s="1"/>
  <c r="E34" i="9"/>
  <c r="C34" i="9"/>
  <c r="J33" i="9"/>
  <c r="I33" i="9"/>
  <c r="G33" i="9"/>
  <c r="F33" i="9" a="1"/>
  <c r="F33" i="9"/>
  <c r="E33" i="9"/>
  <c r="C33" i="9"/>
  <c r="J32" i="9"/>
  <c r="I32" i="9"/>
  <c r="G32" i="9"/>
  <c r="F32" i="9" a="1"/>
  <c r="F32" i="9"/>
  <c r="E32" i="9"/>
  <c r="C32" i="9"/>
  <c r="L31" i="9"/>
  <c r="J31" i="9"/>
  <c r="I31" i="9"/>
  <c r="G31" i="9"/>
  <c r="F31" i="9" a="1"/>
  <c r="F31" i="9"/>
  <c r="E31" i="9"/>
  <c r="K31" i="9" s="1"/>
  <c r="C31" i="9"/>
  <c r="D31" i="9" s="1"/>
  <c r="J30" i="9"/>
  <c r="I30" i="9"/>
  <c r="I22" i="9" s="1"/>
  <c r="G30" i="9"/>
  <c r="F30" i="9" a="1"/>
  <c r="F30" i="9" s="1"/>
  <c r="E30" i="9"/>
  <c r="C30" i="9"/>
  <c r="K7" i="9"/>
  <c r="H7" i="9"/>
  <c r="E7" i="9"/>
  <c r="K6" i="9"/>
  <c r="I35" i="8"/>
  <c r="G35" i="8"/>
  <c r="F35" i="8"/>
  <c r="E35" i="8"/>
  <c r="C35" i="8"/>
  <c r="D35" i="8" s="1"/>
  <c r="I34" i="8"/>
  <c r="H34" i="8"/>
  <c r="G34" i="8"/>
  <c r="F34" i="8" a="1"/>
  <c r="F34" i="8" s="1"/>
  <c r="E34" i="8"/>
  <c r="C34" i="8"/>
  <c r="D34" i="8" s="1"/>
  <c r="I33" i="8"/>
  <c r="G33" i="8"/>
  <c r="F33" i="8" a="1"/>
  <c r="F33" i="8"/>
  <c r="E33" i="8"/>
  <c r="D33" i="8"/>
  <c r="I22" i="8" s="1"/>
  <c r="C33" i="8"/>
  <c r="I32" i="8"/>
  <c r="G32" i="8"/>
  <c r="F32" i="8" a="1"/>
  <c r="F32" i="8" s="1"/>
  <c r="E32" i="8"/>
  <c r="C32" i="8"/>
  <c r="D32" i="8" s="1"/>
  <c r="I31" i="8"/>
  <c r="G31" i="8"/>
  <c r="F31" i="8" a="1"/>
  <c r="F31" i="8"/>
  <c r="E31" i="8"/>
  <c r="D31" i="8"/>
  <c r="C31" i="8"/>
  <c r="I30" i="8"/>
  <c r="I16" i="8" s="1"/>
  <c r="G30" i="8"/>
  <c r="F30" i="8" a="1"/>
  <c r="F30" i="8" s="1"/>
  <c r="E30" i="8"/>
  <c r="B7" i="8" s="1"/>
  <c r="D30" i="8"/>
  <c r="K7" i="8" s="1"/>
  <c r="C30" i="8"/>
  <c r="H7" i="8"/>
  <c r="E7" i="8"/>
  <c r="H6" i="8"/>
  <c r="I44" i="7"/>
  <c r="H44" i="7"/>
  <c r="F44" i="7"/>
  <c r="H43" i="7"/>
  <c r="F43" i="7"/>
  <c r="F42" i="7"/>
  <c r="F41" i="7"/>
  <c r="H40" i="7"/>
  <c r="F40" i="7"/>
  <c r="C40" i="7"/>
  <c r="F39" i="7"/>
  <c r="H38" i="7"/>
  <c r="F38" i="7"/>
  <c r="C38" i="7"/>
  <c r="F37" i="7"/>
  <c r="J34" i="7"/>
  <c r="I34" i="7"/>
  <c r="H34" i="7"/>
  <c r="F34" i="7"/>
  <c r="E34" i="7"/>
  <c r="I33" i="7"/>
  <c r="H33" i="7"/>
  <c r="F33" i="7"/>
  <c r="E33" i="7"/>
  <c r="I32" i="7"/>
  <c r="H32" i="7"/>
  <c r="F32" i="7"/>
  <c r="E32" i="7"/>
  <c r="I31" i="7"/>
  <c r="H31" i="7"/>
  <c r="F31" i="7"/>
  <c r="E31" i="7"/>
  <c r="I30" i="7"/>
  <c r="H30" i="7"/>
  <c r="F30" i="7"/>
  <c r="J31" i="7" s="1"/>
  <c r="E30" i="7"/>
  <c r="I16" i="7"/>
  <c r="K7" i="7"/>
  <c r="H7" i="7"/>
  <c r="E7" i="7"/>
  <c r="K6" i="7"/>
  <c r="B6" i="7"/>
  <c r="L38" i="6"/>
  <c r="L37" i="6"/>
  <c r="L36" i="6"/>
  <c r="B36" i="6"/>
  <c r="L35" i="6"/>
  <c r="B35" i="6"/>
  <c r="L34" i="6"/>
  <c r="B34" i="6"/>
  <c r="L33" i="6"/>
  <c r="B33" i="6"/>
  <c r="L32" i="6"/>
  <c r="E6" i="6" s="1"/>
  <c r="B32" i="6"/>
  <c r="L31" i="6"/>
  <c r="B31" i="6"/>
  <c r="L30" i="6"/>
  <c r="B30" i="6"/>
  <c r="I19" i="6"/>
  <c r="I16" i="6"/>
  <c r="K7" i="6"/>
  <c r="H7" i="6"/>
  <c r="E7" i="6"/>
  <c r="K6" i="6"/>
  <c r="H6" i="6"/>
  <c r="G44" i="5"/>
  <c r="E44" i="5"/>
  <c r="C44" i="5"/>
  <c r="D44" i="5" s="1"/>
  <c r="G43" i="5"/>
  <c r="F43" i="5"/>
  <c r="E43" i="5"/>
  <c r="D43" i="5"/>
  <c r="C43" i="5"/>
  <c r="G42" i="5"/>
  <c r="E42" i="5"/>
  <c r="C42" i="5"/>
  <c r="D42" i="5" s="1"/>
  <c r="G41" i="5"/>
  <c r="E41" i="5"/>
  <c r="C41" i="5"/>
  <c r="D41" i="5" s="1"/>
  <c r="G40" i="5"/>
  <c r="E40" i="5"/>
  <c r="C40" i="5"/>
  <c r="D40" i="5" s="1"/>
  <c r="J33" i="5"/>
  <c r="I33" i="5"/>
  <c r="H33" i="5"/>
  <c r="F33" i="5"/>
  <c r="K6" i="5" s="1"/>
  <c r="E33" i="5"/>
  <c r="D33" i="5"/>
  <c r="C33" i="5"/>
  <c r="J32" i="5"/>
  <c r="I32" i="5"/>
  <c r="H32" i="5"/>
  <c r="F32" i="5" a="1"/>
  <c r="F32" i="5"/>
  <c r="E32" i="5"/>
  <c r="L32" i="5" s="1"/>
  <c r="C32" i="5"/>
  <c r="J31" i="5"/>
  <c r="I19" i="5" s="1"/>
  <c r="I31" i="5"/>
  <c r="H31" i="5"/>
  <c r="F31" i="5" a="1"/>
  <c r="F31" i="5"/>
  <c r="E31" i="5"/>
  <c r="C31" i="5"/>
  <c r="D31" i="5" s="1"/>
  <c r="J30" i="5"/>
  <c r="I30" i="5"/>
  <c r="H30" i="5"/>
  <c r="F30" i="5" a="1"/>
  <c r="F30" i="5" s="1"/>
  <c r="E30" i="5"/>
  <c r="C30" i="5"/>
  <c r="D30" i="5" s="1"/>
  <c r="K7" i="5"/>
  <c r="E7" i="5"/>
  <c r="E41" i="4"/>
  <c r="B41" i="4"/>
  <c r="C40" i="4"/>
  <c r="B40" i="4"/>
  <c r="E39" i="4"/>
  <c r="B39" i="4"/>
  <c r="E38" i="4"/>
  <c r="B38" i="4"/>
  <c r="J35" i="4"/>
  <c r="E35" i="4"/>
  <c r="D35" i="4"/>
  <c r="C35" i="4"/>
  <c r="J34" i="4"/>
  <c r="E34" i="4" a="1"/>
  <c r="E34" i="4"/>
  <c r="D34" i="4"/>
  <c r="C34" i="4"/>
  <c r="J33" i="4"/>
  <c r="E33" i="4" a="1"/>
  <c r="E33" i="4"/>
  <c r="D33" i="4"/>
  <c r="C33" i="4"/>
  <c r="J32" i="4"/>
  <c r="E32" i="4" a="1"/>
  <c r="E32" i="4" s="1"/>
  <c r="D32" i="4"/>
  <c r="C32" i="4"/>
  <c r="J31" i="4"/>
  <c r="E31" i="4" a="1"/>
  <c r="E31" i="4" s="1"/>
  <c r="D31" i="4"/>
  <c r="C31" i="4"/>
  <c r="J30" i="4"/>
  <c r="E30" i="4" a="1"/>
  <c r="E30" i="4" s="1"/>
  <c r="D30" i="4"/>
  <c r="C30" i="4"/>
  <c r="I19" i="4"/>
  <c r="H7" i="4"/>
  <c r="D48" i="3"/>
  <c r="C48" i="3"/>
  <c r="E48" i="3" s="1"/>
  <c r="D47" i="3"/>
  <c r="E47" i="3" s="1"/>
  <c r="C47" i="3"/>
  <c r="D46" i="3"/>
  <c r="E46" i="3" s="1"/>
  <c r="C46" i="3"/>
  <c r="I44" i="3"/>
  <c r="H44" i="3"/>
  <c r="E44" i="3"/>
  <c r="D44" i="3"/>
  <c r="C44" i="3" a="1"/>
  <c r="C44" i="3" s="1"/>
  <c r="I43" i="3"/>
  <c r="H43" i="3"/>
  <c r="E43" i="3"/>
  <c r="D43" i="3"/>
  <c r="C43" i="3"/>
  <c r="I42" i="3"/>
  <c r="H42" i="3"/>
  <c r="E42" i="3"/>
  <c r="D42" i="3"/>
  <c r="C42" i="3"/>
  <c r="G46" i="3" s="1"/>
  <c r="B36" i="3"/>
  <c r="J35" i="3"/>
  <c r="F35" i="3"/>
  <c r="G35" i="3" s="1"/>
  <c r="E35" i="3"/>
  <c r="K6" i="3" s="1"/>
  <c r="C35" i="3"/>
  <c r="D32" i="3" s="1"/>
  <c r="J34" i="3"/>
  <c r="F34" i="3" a="1"/>
  <c r="F34" i="3"/>
  <c r="E34" i="3"/>
  <c r="C34" i="3"/>
  <c r="D34" i="3" s="1"/>
  <c r="J33" i="3"/>
  <c r="H33" i="3"/>
  <c r="F33" i="3" a="1"/>
  <c r="F33" i="3" s="1"/>
  <c r="G33" i="3" s="1"/>
  <c r="E33" i="3"/>
  <c r="C33" i="3"/>
  <c r="D33" i="3" s="1"/>
  <c r="J32" i="3"/>
  <c r="I32" i="3"/>
  <c r="H32" i="3"/>
  <c r="G32" i="3"/>
  <c r="F32" i="3" a="1"/>
  <c r="F32" i="3" s="1"/>
  <c r="E32" i="3"/>
  <c r="C32" i="3"/>
  <c r="J31" i="3"/>
  <c r="F31" i="3" a="1"/>
  <c r="F31" i="3"/>
  <c r="E31" i="3"/>
  <c r="D31" i="3"/>
  <c r="C31" i="3"/>
  <c r="J30" i="3"/>
  <c r="F30" i="3" a="1"/>
  <c r="F30" i="3"/>
  <c r="E30" i="3"/>
  <c r="C30" i="3"/>
  <c r="D30" i="3" s="1"/>
  <c r="K7" i="3"/>
  <c r="H7" i="3"/>
  <c r="G50" i="2"/>
  <c r="F50" i="2"/>
  <c r="E50" i="2"/>
  <c r="M98" i="1"/>
  <c r="I98" i="1"/>
  <c r="H98" i="1"/>
  <c r="M97" i="1"/>
  <c r="L97" i="1"/>
  <c r="K97" i="1"/>
  <c r="J97" i="1"/>
  <c r="I97" i="1"/>
  <c r="H97" i="1"/>
  <c r="H96" i="1"/>
  <c r="M95" i="1"/>
  <c r="I95" i="1"/>
  <c r="H95" i="1"/>
  <c r="M94" i="1"/>
  <c r="L94" i="1"/>
  <c r="K94" i="1"/>
  <c r="J94" i="1"/>
  <c r="H94" i="1"/>
  <c r="H93" i="1"/>
  <c r="B16" i="1"/>
  <c r="B11" i="1"/>
  <c r="J8" i="1"/>
  <c r="F8" i="1"/>
  <c r="D8" i="1"/>
  <c r="B8" i="1"/>
  <c r="J7" i="1"/>
  <c r="F7" i="1" a="1"/>
  <c r="F7" i="1"/>
  <c r="D7" i="1"/>
  <c r="B7" i="1"/>
  <c r="B2" i="1"/>
  <c r="H79" i="10" l="1"/>
  <c r="B100" i="10"/>
  <c r="G30" i="5"/>
  <c r="G9" i="10"/>
  <c r="H34" i="9"/>
  <c r="I19" i="9" s="1"/>
  <c r="H30" i="8"/>
  <c r="I13" i="8" s="1"/>
  <c r="G6" i="10"/>
  <c r="C96" i="10"/>
  <c r="H30" i="9"/>
  <c r="B12" i="1"/>
  <c r="C66" i="10"/>
  <c r="G42" i="10"/>
  <c r="H30" i="2" s="1"/>
  <c r="F42" i="10"/>
  <c r="G30" i="2" s="1"/>
  <c r="E42" i="10" a="1"/>
  <c r="E42" i="10" s="1"/>
  <c r="F30" i="2" s="1"/>
  <c r="D42" i="10"/>
  <c r="E30" i="2" s="1"/>
  <c r="C42" i="10"/>
  <c r="B30" i="2"/>
  <c r="I42" i="10"/>
  <c r="A43" i="10"/>
  <c r="I12" i="10"/>
  <c r="I35" i="4"/>
  <c r="H36" i="6"/>
  <c r="B42" i="10"/>
  <c r="C30" i="2" s="1"/>
  <c r="I32" i="4"/>
  <c r="H32" i="6"/>
  <c r="G34" i="7"/>
  <c r="I13" i="7" s="1"/>
  <c r="G34" i="10"/>
  <c r="H7" i="1"/>
  <c r="C27" i="10"/>
  <c r="B38" i="10"/>
  <c r="C35" i="10" s="1"/>
  <c r="E14" i="11"/>
  <c r="F32" i="4"/>
  <c r="H32" i="4"/>
  <c r="G32" i="4"/>
  <c r="F22" i="11"/>
  <c r="E68" i="11"/>
  <c r="D39" i="4" s="1"/>
  <c r="E100" i="10"/>
  <c r="J32" i="7"/>
  <c r="J33" i="7"/>
  <c r="G32" i="7"/>
  <c r="I33" i="10"/>
  <c r="K31" i="8"/>
  <c r="J31" i="8"/>
  <c r="B96" i="10"/>
  <c r="H50" i="2"/>
  <c r="I10" i="8"/>
  <c r="B6" i="8"/>
  <c r="D32" i="9"/>
  <c r="C25" i="10"/>
  <c r="H34" i="3"/>
  <c r="G34" i="3"/>
  <c r="K34" i="3"/>
  <c r="G33" i="7"/>
  <c r="F42" i="5"/>
  <c r="C101" i="10"/>
  <c r="C98" i="10"/>
  <c r="G35" i="10"/>
  <c r="G31" i="5"/>
  <c r="G28" i="10"/>
  <c r="G17" i="10"/>
  <c r="J9" i="11"/>
  <c r="I9" i="11"/>
  <c r="G19" i="10"/>
  <c r="C9" i="11"/>
  <c r="E98" i="10"/>
  <c r="G38" i="10"/>
  <c r="H35" i="8"/>
  <c r="H33" i="9"/>
  <c r="H9" i="11"/>
  <c r="D45" i="3"/>
  <c r="H8" i="1"/>
  <c r="C24" i="11"/>
  <c r="G9" i="11"/>
  <c r="E69" i="10"/>
  <c r="F33" i="6" s="1"/>
  <c r="F9" i="11"/>
  <c r="B9" i="11"/>
  <c r="F79" i="10"/>
  <c r="G33" i="5"/>
  <c r="F70" i="10"/>
  <c r="G34" i="6" s="1"/>
  <c r="C67" i="10"/>
  <c r="E70" i="10"/>
  <c r="F34" i="6" s="1"/>
  <c r="C70" i="10"/>
  <c r="C69" i="10"/>
  <c r="C68" i="10"/>
  <c r="H33" i="6"/>
  <c r="F69" i="10"/>
  <c r="G33" i="6" s="1"/>
  <c r="E72" i="10"/>
  <c r="F36" i="6" s="1"/>
  <c r="I22" i="6" s="1"/>
  <c r="H30" i="6"/>
  <c r="H31" i="6"/>
  <c r="F72" i="10"/>
  <c r="G36" i="6" s="1"/>
  <c r="C72" i="10"/>
  <c r="K31" i="3"/>
  <c r="K34" i="8"/>
  <c r="J34" i="8"/>
  <c r="E70" i="11"/>
  <c r="D41" i="4" s="1"/>
  <c r="I27" i="10"/>
  <c r="I11" i="10"/>
  <c r="K32" i="3"/>
  <c r="C97" i="10"/>
  <c r="E97" i="10"/>
  <c r="F81" i="10"/>
  <c r="G7" i="10"/>
  <c r="I31" i="3"/>
  <c r="C34" i="11"/>
  <c r="I41" i="7" s="1"/>
  <c r="D32" i="5"/>
  <c r="B7" i="5" s="1"/>
  <c r="I19" i="10"/>
  <c r="D34" i="11"/>
  <c r="H30" i="4"/>
  <c r="I6" i="10"/>
  <c r="H40" i="5"/>
  <c r="G30" i="4"/>
  <c r="F30" i="4"/>
  <c r="B97" i="10"/>
  <c r="B101" i="10"/>
  <c r="B6" i="4"/>
  <c r="B28" i="10"/>
  <c r="C26" i="10" s="1"/>
  <c r="I30" i="4"/>
  <c r="H77" i="10"/>
  <c r="I18" i="10"/>
  <c r="B7" i="4"/>
  <c r="B6" i="5"/>
  <c r="L30" i="5"/>
  <c r="D33" i="9"/>
  <c r="H37" i="7"/>
  <c r="D30" i="11"/>
  <c r="K30" i="5"/>
  <c r="K30" i="8"/>
  <c r="H31" i="4"/>
  <c r="I32" i="10"/>
  <c r="I23" i="10"/>
  <c r="J30" i="8"/>
  <c r="I19" i="8" s="1"/>
  <c r="G31" i="4"/>
  <c r="H33" i="8"/>
  <c r="F80" i="10"/>
  <c r="G26" i="10"/>
  <c r="I33" i="4"/>
  <c r="H35" i="9"/>
  <c r="C99" i="10"/>
  <c r="G31" i="3"/>
  <c r="D36" i="9"/>
  <c r="I13" i="3"/>
  <c r="H31" i="3"/>
  <c r="C10" i="10"/>
  <c r="D35" i="11"/>
  <c r="C35" i="11"/>
  <c r="I42" i="7" s="1"/>
  <c r="I19" i="7"/>
  <c r="H42" i="7"/>
  <c r="F33" i="4"/>
  <c r="I9" i="10"/>
  <c r="E67" i="11"/>
  <c r="D38" i="4" s="1"/>
  <c r="I24" i="10"/>
  <c r="C49" i="3"/>
  <c r="H33" i="4"/>
  <c r="G33" i="4"/>
  <c r="C50" i="3"/>
  <c r="E50" i="3" s="1"/>
  <c r="D101" i="10"/>
  <c r="E99" i="10"/>
  <c r="C45" i="3"/>
  <c r="F77" i="10"/>
  <c r="G32" i="5"/>
  <c r="G18" i="10"/>
  <c r="D99" i="10"/>
  <c r="I33" i="3"/>
  <c r="J44" i="3"/>
  <c r="G23" i="10"/>
  <c r="E96" i="10"/>
  <c r="K33" i="3"/>
  <c r="E7" i="4"/>
  <c r="L33" i="9"/>
  <c r="L34" i="9"/>
  <c r="K33" i="9"/>
  <c r="C30" i="11"/>
  <c r="I31" i="4"/>
  <c r="K33" i="8"/>
  <c r="I26" i="10"/>
  <c r="J33" i="8"/>
  <c r="J43" i="3"/>
  <c r="I17" i="10"/>
  <c r="K31" i="5"/>
  <c r="D14" i="11"/>
  <c r="I28" i="10"/>
  <c r="C14" i="11"/>
  <c r="B14" i="11"/>
  <c r="I25" i="10"/>
  <c r="G16" i="10"/>
  <c r="L7" i="1"/>
  <c r="I10" i="3"/>
  <c r="H30" i="3"/>
  <c r="E7" i="3"/>
  <c r="G30" i="3"/>
  <c r="I16" i="3" s="1"/>
  <c r="B7" i="3"/>
  <c r="I34" i="3"/>
  <c r="I13" i="6"/>
  <c r="D35" i="9"/>
  <c r="B19" i="10"/>
  <c r="C18" i="10" s="1"/>
  <c r="B13" i="1"/>
  <c r="D38" i="10"/>
  <c r="E6" i="3"/>
  <c r="L31" i="5"/>
  <c r="I13" i="5"/>
  <c r="E6" i="5"/>
  <c r="B12" i="10"/>
  <c r="D19" i="10"/>
  <c r="B99" i="10"/>
  <c r="H6" i="3"/>
  <c r="F35" i="4"/>
  <c r="H6" i="4" s="1"/>
  <c r="I8" i="10"/>
  <c r="G32" i="10"/>
  <c r="I38" i="10"/>
  <c r="B62" i="11"/>
  <c r="K30" i="3"/>
  <c r="D35" i="3"/>
  <c r="G35" i="4"/>
  <c r="K6" i="4" s="1"/>
  <c r="J32" i="8"/>
  <c r="K35" i="8"/>
  <c r="K34" i="9"/>
  <c r="H6" i="9"/>
  <c r="D12" i="10"/>
  <c r="I35" i="10"/>
  <c r="C33" i="11"/>
  <c r="I40" i="7" s="1"/>
  <c r="K32" i="5"/>
  <c r="F34" i="4"/>
  <c r="F40" i="5"/>
  <c r="I30" i="3"/>
  <c r="G36" i="10"/>
  <c r="I36" i="10"/>
  <c r="K32" i="9"/>
  <c r="L32" i="9"/>
  <c r="B64" i="11"/>
  <c r="I22" i="4" s="1"/>
  <c r="B6" i="3"/>
  <c r="K33" i="5"/>
  <c r="C16" i="10"/>
  <c r="E23" i="11"/>
  <c r="B60" i="11"/>
  <c r="G24" i="10"/>
  <c r="B61" i="11"/>
  <c r="D50" i="3"/>
  <c r="H42" i="5"/>
  <c r="J35" i="8"/>
  <c r="H35" i="4"/>
  <c r="K7" i="4" s="1"/>
  <c r="K6" i="8"/>
  <c r="K32" i="8"/>
  <c r="B6" i="9"/>
  <c r="D30" i="9"/>
  <c r="I10" i="9" s="1"/>
  <c r="I10" i="4"/>
  <c r="G10" i="10"/>
  <c r="D23" i="11"/>
  <c r="F23" i="11" s="1"/>
  <c r="D31" i="11"/>
  <c r="C31" i="11"/>
  <c r="I38" i="7" s="1"/>
  <c r="C36" i="11"/>
  <c r="I43" i="7" s="1"/>
  <c r="B24" i="11"/>
  <c r="E9" i="11"/>
  <c r="D9" i="11"/>
  <c r="G25" i="10"/>
  <c r="G8" i="10"/>
  <c r="H32" i="9"/>
  <c r="H32" i="8"/>
  <c r="I35" i="3"/>
  <c r="F71" i="10"/>
  <c r="G35" i="6" s="1"/>
  <c r="F68" i="10"/>
  <c r="G32" i="6" s="1"/>
  <c r="E71" i="10"/>
  <c r="F35" i="6" s="1"/>
  <c r="E68" i="10"/>
  <c r="F32" i="6" s="1"/>
  <c r="H34" i="4"/>
  <c r="E6" i="4"/>
  <c r="G34" i="4"/>
  <c r="L35" i="9"/>
  <c r="K35" i="9"/>
  <c r="H36" i="9"/>
  <c r="E67" i="10"/>
  <c r="F31" i="6" s="1"/>
  <c r="C71" i="10"/>
  <c r="E101" i="10"/>
  <c r="E69" i="11"/>
  <c r="D40" i="4" s="1"/>
  <c r="B59" i="11"/>
  <c r="H14" i="11"/>
  <c r="H80" i="10"/>
  <c r="I34" i="10"/>
  <c r="B58" i="11"/>
  <c r="G14" i="11"/>
  <c r="D49" i="3"/>
  <c r="I34" i="4"/>
  <c r="F78" i="10"/>
  <c r="F44" i="5"/>
  <c r="C100" i="10"/>
  <c r="H44" i="5"/>
  <c r="H34" i="6"/>
  <c r="I10" i="10"/>
  <c r="F67" i="10"/>
  <c r="G31" i="6" s="1"/>
  <c r="D98" i="10"/>
  <c r="G33" i="10"/>
  <c r="H31" i="9"/>
  <c r="G31" i="7"/>
  <c r="D100" i="10"/>
  <c r="D71" i="10" l="1"/>
  <c r="D35" i="6" s="1"/>
  <c r="C35" i="6"/>
  <c r="C7" i="10"/>
  <c r="C9" i="10"/>
  <c r="C33" i="6"/>
  <c r="D69" i="10"/>
  <c r="D33" i="6" s="1"/>
  <c r="L30" i="2"/>
  <c r="C34" i="6"/>
  <c r="D70" i="10"/>
  <c r="D34" i="6" s="1"/>
  <c r="C6" i="10"/>
  <c r="B7" i="7"/>
  <c r="I37" i="7"/>
  <c r="C8" i="10"/>
  <c r="D67" i="10"/>
  <c r="D31" i="6" s="1"/>
  <c r="C31" i="6"/>
  <c r="C36" i="6"/>
  <c r="D72" i="10"/>
  <c r="D36" i="6" s="1"/>
  <c r="C30" i="6"/>
  <c r="D66" i="10"/>
  <c r="D30" i="6" s="1"/>
  <c r="E45" i="3"/>
  <c r="C24" i="10"/>
  <c r="I43" i="10"/>
  <c r="G43" i="10"/>
  <c r="H31" i="2" s="1"/>
  <c r="F43" i="10"/>
  <c r="G31" i="2" s="1"/>
  <c r="A44" i="10"/>
  <c r="C43" i="10"/>
  <c r="E43" i="10" a="1"/>
  <c r="E43" i="10" s="1"/>
  <c r="F31" i="2" s="1"/>
  <c r="D43" i="10"/>
  <c r="E31" i="2" s="1"/>
  <c r="B43" i="10"/>
  <c r="C31" i="2" s="1"/>
  <c r="K31" i="2" s="1"/>
  <c r="B31" i="2"/>
  <c r="C32" i="6"/>
  <c r="D68" i="10"/>
  <c r="D32" i="6" s="1"/>
  <c r="H43" i="10"/>
  <c r="I31" i="2" s="1"/>
  <c r="D30" i="2"/>
  <c r="H42" i="10"/>
  <c r="I30" i="2" s="1"/>
  <c r="B15" i="1"/>
  <c r="H6" i="5"/>
  <c r="H7" i="5"/>
  <c r="B7" i="9"/>
  <c r="C23" i="10"/>
  <c r="I13" i="4"/>
  <c r="C33" i="10"/>
  <c r="C36" i="10"/>
  <c r="E6" i="8"/>
  <c r="I22" i="3"/>
  <c r="E49" i="3"/>
  <c r="D24" i="11"/>
  <c r="E24" i="11" s="1"/>
  <c r="F24" i="11"/>
  <c r="I22" i="5"/>
  <c r="I10" i="5"/>
  <c r="I13" i="9"/>
  <c r="E6" i="9"/>
  <c r="I16" i="5"/>
  <c r="C34" i="10"/>
  <c r="I19" i="3"/>
  <c r="C37" i="10"/>
  <c r="I16" i="4"/>
  <c r="C32" i="10"/>
  <c r="C11" i="10"/>
  <c r="C17" i="10"/>
  <c r="C19" i="10" s="1"/>
  <c r="W242" i="13" l="1"/>
  <c r="W206" i="13"/>
  <c r="W170" i="13"/>
  <c r="W134" i="13"/>
  <c r="W62" i="13"/>
  <c r="W26" i="13"/>
  <c r="W193" i="13"/>
  <c r="W232" i="13"/>
  <c r="W16" i="13"/>
  <c r="W241" i="13"/>
  <c r="W111" i="13"/>
  <c r="W114" i="13"/>
  <c r="W9" i="13"/>
  <c r="W34" i="13"/>
  <c r="W180" i="13"/>
  <c r="W183" i="13"/>
  <c r="W166" i="13"/>
  <c r="W239" i="13"/>
  <c r="W203" i="13"/>
  <c r="W167" i="13"/>
  <c r="W131" i="13"/>
  <c r="W95" i="13"/>
  <c r="W59" i="13"/>
  <c r="W23" i="13"/>
  <c r="W168" i="13"/>
  <c r="W207" i="13"/>
  <c r="W235" i="13"/>
  <c r="W225" i="13"/>
  <c r="W100" i="13"/>
  <c r="W103" i="13"/>
  <c r="W223" i="13"/>
  <c r="W175" i="13"/>
  <c r="W231" i="13"/>
  <c r="W159" i="13"/>
  <c r="W48" i="13"/>
  <c r="W136" i="13"/>
  <c r="W18" i="13"/>
  <c r="W139" i="13"/>
  <c r="W233" i="13"/>
  <c r="W197" i="13"/>
  <c r="W161" i="13"/>
  <c r="W89" i="13"/>
  <c r="W53" i="13"/>
  <c r="W17" i="13"/>
  <c r="W132" i="13"/>
  <c r="W192" i="13"/>
  <c r="W57" i="13"/>
  <c r="W156" i="13"/>
  <c r="W177" i="13"/>
  <c r="W186" i="13"/>
  <c r="W126" i="13"/>
  <c r="W83" i="13"/>
  <c r="W3" i="13"/>
  <c r="W72" i="13"/>
  <c r="W188" i="13"/>
  <c r="W152" i="13"/>
  <c r="W80" i="13"/>
  <c r="W85" i="13"/>
  <c r="W238" i="13"/>
  <c r="W91" i="13"/>
  <c r="W163" i="13"/>
  <c r="W245" i="13"/>
  <c r="W209" i="13"/>
  <c r="W173" i="13"/>
  <c r="W137" i="13"/>
  <c r="W101" i="13"/>
  <c r="W65" i="13"/>
  <c r="W29" i="13"/>
  <c r="W204" i="13"/>
  <c r="W243" i="13"/>
  <c r="W27" i="13"/>
  <c r="W19" i="13"/>
  <c r="W130" i="13"/>
  <c r="W138" i="13"/>
  <c r="W82" i="13"/>
  <c r="W45" i="13"/>
  <c r="W61" i="13"/>
  <c r="W226" i="13"/>
  <c r="W198" i="13"/>
  <c r="W67" i="13"/>
  <c r="W64" i="13"/>
  <c r="W189" i="13"/>
  <c r="W236" i="13"/>
  <c r="W174" i="13"/>
  <c r="W125" i="13"/>
  <c r="W171" i="13"/>
  <c r="W141" i="13"/>
  <c r="W79" i="13"/>
  <c r="W66" i="13"/>
  <c r="W112" i="13"/>
  <c r="W202" i="13"/>
  <c r="W147" i="13"/>
  <c r="W230" i="13"/>
  <c r="W194" i="13"/>
  <c r="W158" i="13"/>
  <c r="W122" i="13"/>
  <c r="W86" i="13"/>
  <c r="W50" i="13"/>
  <c r="W14" i="13"/>
  <c r="W121" i="13"/>
  <c r="W160" i="13"/>
  <c r="W181" i="13"/>
  <c r="W33" i="13"/>
  <c r="W30" i="13"/>
  <c r="W247" i="13"/>
  <c r="W118" i="13"/>
  <c r="W227" i="13"/>
  <c r="W109" i="13"/>
  <c r="W144" i="13"/>
  <c r="W224" i="13"/>
  <c r="W116" i="13"/>
  <c r="W8" i="13"/>
  <c r="W124" i="13"/>
  <c r="W246" i="13"/>
  <c r="W201" i="13"/>
  <c r="W75" i="13"/>
  <c r="W98" i="13"/>
  <c r="W40" i="13"/>
  <c r="W228" i="13"/>
  <c r="W78" i="13"/>
  <c r="W200" i="13"/>
  <c r="W164" i="13"/>
  <c r="W128" i="13"/>
  <c r="W92" i="13"/>
  <c r="W56" i="13"/>
  <c r="W20" i="13"/>
  <c r="W157" i="13"/>
  <c r="W196" i="13"/>
  <c r="W216" i="13"/>
  <c r="W190" i="13"/>
  <c r="W76" i="13"/>
  <c r="W87" i="13"/>
  <c r="W115" i="13"/>
  <c r="W213" i="13"/>
  <c r="W151" i="13"/>
  <c r="W37" i="13"/>
  <c r="W217" i="13"/>
  <c r="W28" i="13"/>
  <c r="W93" i="13"/>
  <c r="W22" i="13"/>
  <c r="W145" i="13"/>
  <c r="W169" i="13"/>
  <c r="W42" i="13"/>
  <c r="W153" i="13"/>
  <c r="W250" i="13"/>
  <c r="W199" i="13"/>
  <c r="W191" i="13"/>
  <c r="W155" i="13"/>
  <c r="W119" i="13"/>
  <c r="W47" i="13"/>
  <c r="W11" i="13"/>
  <c r="W96" i="13"/>
  <c r="W135" i="13"/>
  <c r="W162" i="13"/>
  <c r="W25" i="13"/>
  <c r="W6" i="13"/>
  <c r="W237" i="13"/>
  <c r="W148" i="13"/>
  <c r="W244" i="13"/>
  <c r="W7" i="13"/>
  <c r="W129" i="13"/>
  <c r="W44" i="13"/>
  <c r="W127" i="13"/>
  <c r="W249" i="13"/>
  <c r="W94" i="13"/>
  <c r="W234" i="13"/>
  <c r="W51" i="13"/>
  <c r="W142" i="13"/>
  <c r="W221" i="13"/>
  <c r="C38" i="10"/>
  <c r="A45" i="10"/>
  <c r="B44" i="10"/>
  <c r="C32" i="2" s="1"/>
  <c r="D44" i="10"/>
  <c r="E32" i="2" s="1"/>
  <c r="C44" i="10"/>
  <c r="B32" i="2"/>
  <c r="I44" i="10"/>
  <c r="E44" i="10" a="1"/>
  <c r="E44" i="10" s="1"/>
  <c r="F32" i="2" s="1"/>
  <c r="G44" i="10"/>
  <c r="H32" i="2" s="1"/>
  <c r="F44" i="10"/>
  <c r="G32" i="2" s="1"/>
  <c r="W150" i="13"/>
  <c r="W10" i="13"/>
  <c r="W58" i="13"/>
  <c r="W21" i="13"/>
  <c r="W69" i="13"/>
  <c r="W154" i="13"/>
  <c r="W106" i="13"/>
  <c r="W187" i="13"/>
  <c r="W165" i="13"/>
  <c r="W54" i="13"/>
  <c r="W52" i="13"/>
  <c r="W13" i="13"/>
  <c r="W229" i="13"/>
  <c r="W32" i="13"/>
  <c r="W68" i="13"/>
  <c r="W104" i="13"/>
  <c r="W140" i="13"/>
  <c r="W176" i="13"/>
  <c r="W212" i="13"/>
  <c r="W90" i="13"/>
  <c r="W210" i="13"/>
  <c r="W12" i="13"/>
  <c r="W97" i="13"/>
  <c r="W31" i="13"/>
  <c r="W105" i="13"/>
  <c r="W172" i="13"/>
  <c r="W117" i="13"/>
  <c r="W195" i="13"/>
  <c r="W184" i="13"/>
  <c r="W73" i="13"/>
  <c r="W63" i="13"/>
  <c r="W24" i="13"/>
  <c r="W240" i="13"/>
  <c r="W35" i="13"/>
  <c r="W71" i="13"/>
  <c r="W107" i="13"/>
  <c r="W143" i="13"/>
  <c r="W179" i="13"/>
  <c r="W215" i="13"/>
  <c r="W251" i="13"/>
  <c r="E32" i="6"/>
  <c r="E35" i="6"/>
  <c r="E36" i="6"/>
  <c r="E31" i="6"/>
  <c r="D37" i="6"/>
  <c r="E30" i="6"/>
  <c r="E34" i="6"/>
  <c r="E33" i="6"/>
  <c r="D31" i="2"/>
  <c r="W46" i="13"/>
  <c r="W220" i="13"/>
  <c r="W4" i="13"/>
  <c r="W102" i="13"/>
  <c r="W39" i="13"/>
  <c r="W123" i="13"/>
  <c r="W36" i="13"/>
  <c r="W133" i="13"/>
  <c r="W211" i="13"/>
  <c r="W208" i="13"/>
  <c r="W84" i="13"/>
  <c r="W88" i="13"/>
  <c r="W49" i="13"/>
  <c r="W2" i="13"/>
  <c r="W38" i="13"/>
  <c r="W74" i="13"/>
  <c r="W110" i="13"/>
  <c r="W146" i="13"/>
  <c r="W182" i="13"/>
  <c r="W218" i="13"/>
  <c r="C12" i="10"/>
  <c r="C37" i="6"/>
  <c r="B6" i="6"/>
  <c r="C28" i="10"/>
  <c r="J31" i="2"/>
  <c r="L31" i="2"/>
  <c r="W205" i="13"/>
  <c r="W248" i="13"/>
  <c r="W70" i="13"/>
  <c r="W15" i="13"/>
  <c r="W43" i="13"/>
  <c r="W120" i="13"/>
  <c r="W55" i="13"/>
  <c r="W178" i="13"/>
  <c r="W81" i="13"/>
  <c r="W214" i="13"/>
  <c r="W222" i="13"/>
  <c r="W219" i="13"/>
  <c r="W108" i="13"/>
  <c r="W99" i="13"/>
  <c r="W60" i="13"/>
  <c r="W5" i="13"/>
  <c r="W41" i="13"/>
  <c r="W77" i="13"/>
  <c r="W113" i="13"/>
  <c r="W149" i="13"/>
  <c r="W185" i="13"/>
  <c r="L32" i="2" l="1"/>
  <c r="J32" i="2"/>
  <c r="K32" i="2"/>
  <c r="H44" i="10"/>
  <c r="I32" i="2" s="1"/>
  <c r="B45" i="10"/>
  <c r="C33" i="2" s="1"/>
  <c r="E45" i="10" a="1"/>
  <c r="E45" i="10" s="1"/>
  <c r="F33" i="2" s="1"/>
  <c r="D45" i="10"/>
  <c r="E33" i="2" s="1"/>
  <c r="C45" i="10"/>
  <c r="B33" i="2"/>
  <c r="F45" i="10"/>
  <c r="G33" i="2" s="1"/>
  <c r="A46" i="10"/>
  <c r="I45" i="10"/>
  <c r="G45" i="10"/>
  <c r="H33" i="2" s="1"/>
  <c r="I10" i="6"/>
  <c r="B7" i="6"/>
  <c r="D32" i="2"/>
  <c r="C43" i="11" a="1"/>
  <c r="C43" i="11" s="1"/>
  <c r="G23" i="11"/>
  <c r="C45" i="11" a="1"/>
  <c r="C45" i="11" s="1"/>
  <c r="C44" i="11" a="1"/>
  <c r="C44" i="11" s="1"/>
  <c r="C42" i="11" a="1"/>
  <c r="C42" i="11" s="1"/>
  <c r="G22" i="11"/>
  <c r="G25" i="11"/>
  <c r="C29" i="12" s="1"/>
  <c r="G24" i="11"/>
  <c r="B109" i="1" l="1"/>
  <c r="D40" i="7"/>
  <c r="I22" i="7"/>
  <c r="D33" i="2"/>
  <c r="L33" i="2"/>
  <c r="J33" i="2"/>
  <c r="D37" i="7"/>
  <c r="E6" i="7"/>
  <c r="B14" i="1"/>
  <c r="D46" i="10"/>
  <c r="E34" i="2" s="1"/>
  <c r="B34" i="2"/>
  <c r="C46" i="10"/>
  <c r="I46" i="10"/>
  <c r="G46" i="10"/>
  <c r="H34" i="2" s="1"/>
  <c r="F46" i="10"/>
  <c r="G34" i="2" s="1"/>
  <c r="B46" i="10"/>
  <c r="C34" i="2" s="1"/>
  <c r="A47" i="10"/>
  <c r="E46" i="10" a="1"/>
  <c r="E46" i="10" s="1"/>
  <c r="F34" i="2" s="1"/>
  <c r="I10" i="7"/>
  <c r="D39" i="7"/>
  <c r="H6" i="7"/>
  <c r="C43" i="7"/>
  <c r="C44" i="7" s="1"/>
  <c r="C52" i="11"/>
  <c r="C53" i="11"/>
  <c r="D38" i="7"/>
  <c r="B48" i="11"/>
  <c r="B49" i="11" s="1"/>
  <c r="K33" i="2"/>
  <c r="H45" i="10"/>
  <c r="I33" i="2" s="1"/>
  <c r="E47" i="10" l="1" a="1"/>
  <c r="E47" i="10" s="1"/>
  <c r="F35" i="2" s="1"/>
  <c r="B35" i="2"/>
  <c r="A48" i="10"/>
  <c r="F47" i="10"/>
  <c r="G35" i="2" s="1"/>
  <c r="I47" i="10"/>
  <c r="G47" i="10"/>
  <c r="H35" i="2" s="1"/>
  <c r="D47" i="10"/>
  <c r="E35" i="2" s="1"/>
  <c r="B47" i="10"/>
  <c r="C35" i="2" s="1"/>
  <c r="C47" i="10"/>
  <c r="K34" i="2"/>
  <c r="H46" i="10"/>
  <c r="I34" i="2" s="1"/>
  <c r="D34" i="2"/>
  <c r="L34" i="2"/>
  <c r="J34" i="2"/>
  <c r="D35" i="2" l="1"/>
  <c r="H47" i="10"/>
  <c r="I35" i="2" s="1"/>
  <c r="K35" i="2"/>
  <c r="J35" i="2"/>
  <c r="L35" i="2"/>
  <c r="H48" i="10"/>
  <c r="I36" i="2" s="1"/>
  <c r="G48" i="10"/>
  <c r="H36" i="2" s="1"/>
  <c r="F48" i="10"/>
  <c r="G36" i="2" s="1"/>
  <c r="D48" i="10"/>
  <c r="E36" i="2" s="1"/>
  <c r="B48" i="10"/>
  <c r="C36" i="2" s="1"/>
  <c r="C48" i="10"/>
  <c r="E48" i="10" a="1"/>
  <c r="E48" i="10" s="1"/>
  <c r="F36" i="2" s="1"/>
  <c r="A49" i="10"/>
  <c r="B36" i="2"/>
  <c r="I48" i="10"/>
  <c r="I49" i="10" l="1"/>
  <c r="G49" i="10"/>
  <c r="H37" i="2" s="1"/>
  <c r="B37" i="2"/>
  <c r="E49" i="10" a="1"/>
  <c r="E49" i="10" s="1"/>
  <c r="F37" i="2" s="1"/>
  <c r="F49" i="10"/>
  <c r="G37" i="2" s="1"/>
  <c r="A50" i="10"/>
  <c r="B49" i="10"/>
  <c r="C37" i="2" s="1"/>
  <c r="D49" i="10"/>
  <c r="E37" i="2" s="1"/>
  <c r="C49" i="10"/>
  <c r="D36" i="2"/>
  <c r="L36" i="2"/>
  <c r="J36" i="2"/>
  <c r="K36" i="2"/>
  <c r="D37" i="2" l="1"/>
  <c r="L37" i="2"/>
  <c r="J37" i="2"/>
  <c r="H49" i="10"/>
  <c r="I37" i="2" s="1"/>
  <c r="K37" i="2"/>
  <c r="A51" i="10"/>
  <c r="I50" i="10"/>
  <c r="F50" i="10"/>
  <c r="G38" i="2" s="1"/>
  <c r="C50" i="10"/>
  <c r="E50" i="10" a="1"/>
  <c r="E50" i="10" s="1"/>
  <c r="F38" i="2" s="1"/>
  <c r="D50" i="10"/>
  <c r="E38" i="2" s="1"/>
  <c r="B50" i="10"/>
  <c r="C38" i="2" s="1"/>
  <c r="K38" i="2" s="1"/>
  <c r="B38" i="2"/>
  <c r="G50" i="10"/>
  <c r="H38" i="2" s="1"/>
  <c r="H50" i="10"/>
  <c r="I38" i="2" s="1"/>
  <c r="B51" i="10" l="1"/>
  <c r="C39" i="2" s="1"/>
  <c r="K39" i="2" s="1"/>
  <c r="D51" i="10"/>
  <c r="E39" i="2" s="1"/>
  <c r="C51" i="10"/>
  <c r="A52" i="10"/>
  <c r="B39" i="2"/>
  <c r="I51" i="10"/>
  <c r="G51" i="10"/>
  <c r="H39" i="2" s="1"/>
  <c r="F51" i="10"/>
  <c r="G39" i="2" s="1"/>
  <c r="E51" i="10" a="1"/>
  <c r="E51" i="10" s="1"/>
  <c r="F39" i="2" s="1"/>
  <c r="J38" i="2"/>
  <c r="L38" i="2"/>
  <c r="D38" i="2"/>
  <c r="D39" i="2" l="1"/>
  <c r="J39" i="2"/>
  <c r="L39" i="2"/>
  <c r="D52" i="10"/>
  <c r="E40" i="2" s="1"/>
  <c r="C52" i="10"/>
  <c r="G52" i="10"/>
  <c r="H40" i="2" s="1"/>
  <c r="E52" i="10" a="1"/>
  <c r="E52" i="10" s="1"/>
  <c r="F40" i="2" s="1"/>
  <c r="F52" i="10"/>
  <c r="G40" i="2" s="1"/>
  <c r="A53" i="10"/>
  <c r="I52" i="10"/>
  <c r="B52" i="10"/>
  <c r="C40" i="2" s="1"/>
  <c r="K40" i="2" s="1"/>
  <c r="B40" i="2"/>
  <c r="H51" i="10"/>
  <c r="I39" i="2" s="1"/>
  <c r="D40" i="2" l="1"/>
  <c r="L40" i="2"/>
  <c r="J40" i="2"/>
  <c r="H52" i="10"/>
  <c r="I40" i="2" s="1"/>
  <c r="E53" i="10" a="1"/>
  <c r="E53" i="10" s="1"/>
  <c r="F41" i="2" s="1"/>
  <c r="B41" i="2"/>
  <c r="I53" i="10"/>
  <c r="A54" i="10"/>
  <c r="G53" i="10"/>
  <c r="H41" i="2" s="1"/>
  <c r="F53" i="10"/>
  <c r="G41" i="2" s="1"/>
  <c r="C53" i="10"/>
  <c r="D53" i="10"/>
  <c r="E41" i="2" s="1"/>
  <c r="B53" i="10"/>
  <c r="C41" i="2" s="1"/>
  <c r="K41" i="2" s="1"/>
  <c r="D41" i="2" l="1"/>
  <c r="G54" i="10"/>
  <c r="H42" i="2" s="1"/>
  <c r="F54" i="10"/>
  <c r="G42" i="2" s="1"/>
  <c r="B54" i="10"/>
  <c r="C42" i="2" s="1"/>
  <c r="K42" i="2" s="1"/>
  <c r="A55" i="10"/>
  <c r="B42" i="2"/>
  <c r="C54" i="10"/>
  <c r="I54" i="10"/>
  <c r="E54" i="10" a="1"/>
  <c r="E54" i="10" s="1"/>
  <c r="F42" i="2" s="1"/>
  <c r="D54" i="10"/>
  <c r="E42" i="2" s="1"/>
  <c r="H53" i="10"/>
  <c r="I41" i="2" s="1"/>
  <c r="L41" i="2"/>
  <c r="J41" i="2"/>
  <c r="J42" i="2" l="1"/>
  <c r="L42" i="2"/>
  <c r="D42" i="2"/>
  <c r="H54" i="10"/>
  <c r="I42" i="2" s="1"/>
  <c r="I55" i="10"/>
  <c r="E55" i="10" a="1"/>
  <c r="E55" i="10" s="1"/>
  <c r="F43" i="2" s="1"/>
  <c r="D55" i="10"/>
  <c r="E43" i="2" s="1"/>
  <c r="C55" i="10"/>
  <c r="A56" i="10"/>
  <c r="G55" i="10"/>
  <c r="H43" i="2" s="1"/>
  <c r="B43" i="2"/>
  <c r="F55" i="10"/>
  <c r="G43" i="2" s="1"/>
  <c r="B55" i="10"/>
  <c r="C43" i="2" s="1"/>
  <c r="K43" i="2" s="1"/>
  <c r="D43" i="2" l="1"/>
  <c r="J43" i="2"/>
  <c r="L43" i="2"/>
  <c r="A57" i="10"/>
  <c r="I56" i="10"/>
  <c r="G56" i="10"/>
  <c r="H44" i="2" s="1"/>
  <c r="F56" i="10"/>
  <c r="G44" i="2" s="1"/>
  <c r="B44" i="2"/>
  <c r="C56" i="10"/>
  <c r="E56" i="10" a="1"/>
  <c r="E56" i="10" s="1"/>
  <c r="F44" i="2" s="1"/>
  <c r="D56" i="10"/>
  <c r="E44" i="2" s="1"/>
  <c r="B56" i="10"/>
  <c r="C44" i="2" s="1"/>
  <c r="K44" i="2" s="1"/>
  <c r="H55" i="10"/>
  <c r="I43" i="2" s="1"/>
  <c r="L44" i="2" l="1"/>
  <c r="J44" i="2"/>
  <c r="D44" i="2"/>
  <c r="B57" i="10"/>
  <c r="C45" i="2" s="1"/>
  <c r="K45" i="2" s="1"/>
  <c r="B45" i="2"/>
  <c r="A58" i="10"/>
  <c r="D57" i="10"/>
  <c r="E45" i="2" s="1"/>
  <c r="C57" i="10"/>
  <c r="I57" i="10"/>
  <c r="G57" i="10"/>
  <c r="H45" i="2" s="1"/>
  <c r="F57" i="10"/>
  <c r="G45" i="2" s="1"/>
  <c r="E57" i="10" a="1"/>
  <c r="E57" i="10" s="1"/>
  <c r="F45" i="2" s="1"/>
  <c r="H56" i="10"/>
  <c r="I44" i="2" s="1"/>
  <c r="D45" i="2" l="1"/>
  <c r="H57" i="10"/>
  <c r="I45" i="2" s="1"/>
  <c r="L45" i="2"/>
  <c r="J45" i="2"/>
  <c r="D58" i="10"/>
  <c r="E46" i="2" s="1"/>
  <c r="B46" i="2"/>
  <c r="C58" i="10"/>
  <c r="E58" i="10" a="1"/>
  <c r="E58" i="10" s="1"/>
  <c r="F46" i="2" s="1"/>
  <c r="B58" i="10"/>
  <c r="C46" i="2" s="1"/>
  <c r="K46" i="2" s="1"/>
  <c r="F58" i="10"/>
  <c r="G46" i="2" s="1"/>
  <c r="A59" i="10"/>
  <c r="I58" i="10"/>
  <c r="G58" i="10"/>
  <c r="H46" i="2" s="1"/>
  <c r="D46" i="2" l="1"/>
  <c r="J46" i="2"/>
  <c r="L46" i="2"/>
  <c r="H58" i="10"/>
  <c r="I46" i="2" s="1"/>
  <c r="E59" i="10" a="1"/>
  <c r="E59" i="10" s="1"/>
  <c r="F47" i="2" s="1"/>
  <c r="B47" i="2"/>
  <c r="I59" i="10"/>
  <c r="G59" i="10"/>
  <c r="H47" i="2" s="1"/>
  <c r="F59" i="10"/>
  <c r="G47" i="2" s="1"/>
  <c r="C59" i="10"/>
  <c r="B59" i="10"/>
  <c r="C47" i="2" s="1"/>
  <c r="K47" i="2" s="1"/>
  <c r="A60" i="10"/>
  <c r="D59" i="10"/>
  <c r="E47" i="2" s="1"/>
  <c r="D47" i="2" l="1"/>
  <c r="H59" i="10"/>
  <c r="I47" i="2" s="1"/>
  <c r="L47" i="2"/>
  <c r="J47" i="2"/>
  <c r="H60" i="10"/>
  <c r="I48" i="2" s="1"/>
  <c r="G60" i="10"/>
  <c r="H48" i="2" s="1"/>
  <c r="F60" i="10"/>
  <c r="G48" i="2" s="1"/>
  <c r="A61" i="10"/>
  <c r="I60" i="10"/>
  <c r="E60" i="10" a="1"/>
  <c r="E60" i="10" s="1"/>
  <c r="F48" i="2" s="1"/>
  <c r="D60" i="10"/>
  <c r="E48" i="2" s="1"/>
  <c r="C60" i="10"/>
  <c r="D48" i="2" s="1"/>
  <c r="B60" i="10"/>
  <c r="C48" i="2" s="1"/>
  <c r="B48" i="2"/>
  <c r="J48" i="2" l="1"/>
  <c r="L48" i="2"/>
  <c r="I61" i="10"/>
  <c r="D61" i="10"/>
  <c r="E49" i="2" s="1"/>
  <c r="B61" i="10"/>
  <c r="C49" i="2" s="1"/>
  <c r="C61" i="10"/>
  <c r="D49" i="2" s="1"/>
  <c r="D50" i="2" s="1"/>
  <c r="F61" i="10"/>
  <c r="G49" i="2" s="1"/>
  <c r="E61" i="10" a="1"/>
  <c r="E61" i="10" s="1"/>
  <c r="F49" i="2" s="1"/>
  <c r="B49" i="2"/>
  <c r="G61" i="10"/>
  <c r="H49" i="2" s="1"/>
  <c r="K48" i="2"/>
  <c r="K6" i="2"/>
  <c r="L49" i="2" l="1"/>
  <c r="I16" i="2" s="1"/>
  <c r="J49" i="2"/>
  <c r="H6" i="2"/>
  <c r="H7" i="2"/>
  <c r="I13" i="2"/>
  <c r="K7" i="2"/>
  <c r="B51" i="2"/>
  <c r="K49" i="2"/>
  <c r="B7" i="2"/>
  <c r="C50" i="2"/>
  <c r="B6" i="2" s="1"/>
  <c r="I10" i="2"/>
  <c r="E6" i="2"/>
  <c r="E7" i="2"/>
  <c r="I22" i="2"/>
  <c r="H61" i="10"/>
  <c r="I49" i="2" s="1"/>
  <c r="I19" i="2" s="1"/>
</calcChain>
</file>

<file path=xl/sharedStrings.xml><?xml version="1.0" encoding="utf-8"?>
<sst xmlns="http://schemas.openxmlformats.org/spreadsheetml/2006/main" count="2725" uniqueCount="685">
  <si>
    <t>HOME SALES PERFORMANCE DASHBOARD</t>
  </si>
  <si>
    <t>NEIGHBORHOOD ▸</t>
  </si>
  <si>
    <t>All</t>
  </si>
  <si>
    <t>PROPERTY TYPE ▸</t>
  </si>
  <si>
    <t>◂ dropdowns filter the KPI cards. Click any 🔍 button under a chart to open that graph's detail page.</t>
  </si>
  <si>
    <t>HOMES SOLD</t>
  </si>
  <si>
    <t>TOTAL VOLUME</t>
  </si>
  <si>
    <t>MEDIAN PRICE</t>
  </si>
  <si>
    <t>AVG $ / SQ FT</t>
  </si>
  <si>
    <t>AVG DAYS ON MKT</t>
  </si>
  <si>
    <t>SALE-TO-LIST</t>
  </si>
  <si>
    <t>KEY INSIGHTS  (auto-generated — text updates with the data)</t>
  </si>
  <si>
    <t>MARKET TREND — volume vs. price by month</t>
  </si>
  <si>
    <t>🔍  Click for details &amp; drill-down: Monthly Trend  ▸</t>
  </si>
  <si>
    <t>NEIGHBORHOOD PERFORMANCE</t>
  </si>
  <si>
    <t>🔍  Click for details &amp; drill-down: Neighborhood Pricing  ▸</t>
  </si>
  <si>
    <t>🔍  Click for details &amp; drill-down: Speed &amp; Negotiation  ▸</t>
  </si>
  <si>
    <t>MARKET MIX</t>
  </si>
  <si>
    <t>🔍  Click for details &amp; drill-down: Property Type  ▸</t>
  </si>
  <si>
    <t>🔍  Click for details &amp; drill-down: Price Distribution  ▸</t>
  </si>
  <si>
    <t>PRICE DRIVERS</t>
  </si>
  <si>
    <t>🔍  Click for details &amp; drill-down: Size vs. Price  ▸</t>
  </si>
  <si>
    <t>🔍  Click for details &amp; drill-down: Condition  ▸</t>
  </si>
  <si>
    <t>SIZE PREMIUM &amp; NEIGHBORHOOD × TYPE HEATMAP</t>
  </si>
  <si>
    <t>Average Sale Price — Neighborhood × Property Type</t>
  </si>
  <si>
    <t>Neighborhood</t>
  </si>
  <si>
    <t>Condo</t>
  </si>
  <si>
    <t>Single Family</t>
  </si>
  <si>
    <t>Townhouse</t>
  </si>
  <si>
    <t>All types</t>
  </si>
  <si>
    <t>Sales (n)</t>
  </si>
  <si>
    <t>How to read: darker green = higher average price. Blank cells mean no sales in that combination (e.g. condos may not exist in every area). Bedroom chart excludes the single 6-BR sale. For full detail see the Pivots sheet.</t>
  </si>
  <si>
    <t>🔍  Full heatmaps &amp; all pivot tables  ▸</t>
  </si>
  <si>
    <t>🔍  Click for details &amp; drill-down: Bedrooms  ▸</t>
  </si>
  <si>
    <t>1  ▸  MONTHLY TREND — DRILL-DOWN</t>
  </si>
  <si>
    <t>Sales volume and pricing month by month, with the rolling average that smooths short-term noise.</t>
  </si>
  <si>
    <t>◂ Back to Dashboard</t>
  </si>
  <si>
    <t>◂ Previous graph</t>
  </si>
  <si>
    <t>Next graph ▸</t>
  </si>
  <si>
    <t>Graph 1 of 8   •   use the buttons to move between graphs or return to the dashboard</t>
  </si>
  <si>
    <t>TOTAL SALES</t>
  </si>
  <si>
    <t>BUSIEST MONTH</t>
  </si>
  <si>
    <t>PEAK AVG PRICE MONTH</t>
  </si>
  <si>
    <t>AVG SALES / FULL MONTH</t>
  </si>
  <si>
    <t>THE GRAPH</t>
  </si>
  <si>
    <t>KEY TAKEAWAYS (auto-generated)</t>
  </si>
  <si>
    <t>DATA BEHIND THE GRAPH</t>
  </si>
  <si>
    <t>Month</t>
  </si>
  <si>
    <t>Sales</t>
  </si>
  <si>
    <t>Volume ($)</t>
  </si>
  <si>
    <t>Avg Price</t>
  </si>
  <si>
    <t>Median Price</t>
  </si>
  <si>
    <t>Avg DOM</t>
  </si>
  <si>
    <t>Sale-to-List</t>
  </si>
  <si>
    <t>3-mo Rolling Avg</t>
  </si>
  <si>
    <t>Δ Avg Price MoM</t>
  </si>
  <si>
    <t>Δ Sales MoM</t>
  </si>
  <si>
    <t>Avg − Median</t>
  </si>
  <si>
    <t>—</t>
  </si>
  <si>
    <t>Total / Average</t>
  </si>
  <si>
    <t>2  ▸  NEIGHBORHOOD PRICING — DRILL-DOWN</t>
  </si>
  <si>
    <t>How each neighborhood prices: average vs. median, premium to market, and price per square foot.</t>
  </si>
  <si>
    <t>Graph 2 of 8   •   use the buttons to move between graphs or return to the dashboard</t>
  </si>
  <si>
    <t>HIGHEST-PRICED AREA</t>
  </si>
  <si>
    <t>MOST AFFORDABLE AREA</t>
  </si>
  <si>
    <t>PRICE SPREAD (TOP vs BOTTOM)</t>
  </si>
  <si>
    <t>MARKET AVG PRICE</t>
  </si>
  <si>
    <t>% of Sales</t>
  </si>
  <si>
    <t>Avg vs Market</t>
  </si>
  <si>
    <t>Avg $/sqft</t>
  </si>
  <si>
    <t>Avg Sq Ft</t>
  </si>
  <si>
    <t>Price Rank</t>
  </si>
  <si>
    <t>Cedar Park</t>
  </si>
  <si>
    <t>Downtown</t>
  </si>
  <si>
    <t>Maple Heights</t>
  </si>
  <si>
    <t>Oak Hill</t>
  </si>
  <si>
    <t>Riverside</t>
  </si>
  <si>
    <t>Market (all sales)</t>
  </si>
  <si>
    <t>DRILL-DOWN ▸ pick a neighborhood to see its full profile</t>
  </si>
  <si>
    <t>Choose neighborhood ▸</t>
  </si>
  <si>
    <t>Metric</t>
  </si>
  <si>
    <t>Selected</t>
  </si>
  <si>
    <t>Market</t>
  </si>
  <si>
    <t>Difference</t>
  </si>
  <si>
    <t>Type mix</t>
  </si>
  <si>
    <t>Avg price</t>
  </si>
  <si>
    <t>Median price</t>
  </si>
  <si>
    <t>Avg sq ft</t>
  </si>
  <si>
    <t>Avg bedrooms</t>
  </si>
  <si>
    <t>Avg days on market</t>
  </si>
  <si>
    <t>Sale-to-list</t>
  </si>
  <si>
    <t>% sold above list</t>
  </si>
  <si>
    <t>3  ▸  SPEED &amp; NEGOTIATION — DRILL-DOWN</t>
  </si>
  <si>
    <t>How fast each neighborhood sells and how much room buyers have to negotiate.</t>
  </si>
  <si>
    <t>Graph 3 of 8   •   use the buttons to move between graphs or return to the dashboard</t>
  </si>
  <si>
    <t>FASTEST-SELLING AREA</t>
  </si>
  <si>
    <t>SLOWEST-SELLING AREA</t>
  </si>
  <si>
    <t>MARKET SALE-TO-LIST</t>
  </si>
  <si>
    <t>% SOLD ABOVE ASKING</t>
  </si>
  <si>
    <t>Avg DOM (days)</t>
  </si>
  <si>
    <t>Median DOM</t>
  </si>
  <si>
    <t>% Sold Above List</t>
  </si>
  <si>
    <t>% Sold Below List</t>
  </si>
  <si>
    <t>Avg $ vs List</t>
  </si>
  <si>
    <t>Avg Comm. %</t>
  </si>
  <si>
    <t>Does waiting cost / save money?</t>
  </si>
  <si>
    <t>Avg Sale-to-List</t>
  </si>
  <si>
    <t>4  ▸  PROPERTY TYPE — DRILL-DOWN</t>
  </si>
  <si>
    <t>Condos, single-family homes and townhouses compared on price, size, speed and negotiation.</t>
  </si>
  <si>
    <t>Graph 4 of 8   •   use the buttons to move between graphs or return to the dashboard</t>
  </si>
  <si>
    <t>LARGEST SEGMENT</t>
  </si>
  <si>
    <t>SINGLE FAMILY vs CONDO</t>
  </si>
  <si>
    <t>HIGHEST $/SQ FT</t>
  </si>
  <si>
    <t>MARKET MEDIAN PRICE</t>
  </si>
  <si>
    <t>Property Type</t>
  </si>
  <si>
    <t>Avg Beds</t>
  </si>
  <si>
    <t>DRILL-DOWN ▸ pick a property type to see where it sells</t>
  </si>
  <si>
    <t>Choose property type ▸</t>
  </si>
  <si>
    <t>% of this type</t>
  </si>
  <si>
    <t>5  ▸  PRICE DISTRIBUTION — DRILL-DOWN</t>
  </si>
  <si>
    <t>How sale prices are distributed across bands, with percentiles and the skew created by luxury sales.</t>
  </si>
  <si>
    <t>Graph 5 of 8   •   use the buttons to move between graphs or return to the dashboard</t>
  </si>
  <si>
    <t>MOST COMMON PRICE BAND</t>
  </si>
  <si>
    <t>SHARE UNDER $300K</t>
  </si>
  <si>
    <t>SHARE $600K AND UP</t>
  </si>
  <si>
    <t>Price Band</t>
  </si>
  <si>
    <t>Cumulative %</t>
  </si>
  <si>
    <t>Price statistic</t>
  </si>
  <si>
    <t>Value</t>
  </si>
  <si>
    <t>10th percentile</t>
  </si>
  <si>
    <t>25th percentile (Q1)</t>
  </si>
  <si>
    <t>Median</t>
  </si>
  <si>
    <t>75th percentile (Q3)</t>
  </si>
  <si>
    <t>90th percentile</t>
  </si>
  <si>
    <t>Mean</t>
  </si>
  <si>
    <t>Std deviation</t>
  </si>
  <si>
    <t>Total</t>
  </si>
  <si>
    <t>Interquartile range</t>
  </si>
  <si>
    <t>Band limits are editable (blue cells) on the Pivots sheet, section 6.</t>
  </si>
  <si>
    <t>Skewness</t>
  </si>
  <si>
    <t>6  ▸  SIZE VS. PRICE — DRILL-DOWN</t>
  </si>
  <si>
    <t>How living area relates to price: size bands, regression, correlations and a price estimator.</t>
  </si>
  <si>
    <t>Graph 6 of 8   •   use the buttons to move between graphs or return to the dashboard</t>
  </si>
  <si>
    <t>CORRELATION (SQ FT vs PRICE)</t>
  </si>
  <si>
    <t>EXTRA PRICE PER SQ FT</t>
  </si>
  <si>
    <t>R² (EXCL. OUTLIERS)</t>
  </si>
  <si>
    <t>MEDIAN LIVING AREA</t>
  </si>
  <si>
    <t>Size Band</t>
  </si>
  <si>
    <t>From (sq ft)</t>
  </si>
  <si>
    <t>To (sq ft)</t>
  </si>
  <si>
    <t>Δ Price vs prev band</t>
  </si>
  <si>
    <t>Under 1,000</t>
  </si>
  <si>
    <t>1,000 - 1,499</t>
  </si>
  <si>
    <t>1,500 - 1,999</t>
  </si>
  <si>
    <t>2,000 - 2,499</t>
  </si>
  <si>
    <t>2,500+</t>
  </si>
  <si>
    <t>Regression: price = a + b × sq ft</t>
  </si>
  <si>
    <t>All sales</t>
  </si>
  <si>
    <t>Excl. outliers</t>
  </si>
  <si>
    <t>Correlation with price</t>
  </si>
  <si>
    <t>r</t>
  </si>
  <si>
    <t>Strength</t>
  </si>
  <si>
    <t>Slope b ($ per sq ft)</t>
  </si>
  <si>
    <t>Intercept a ($)</t>
  </si>
  <si>
    <t>R²</t>
  </si>
  <si>
    <t>Std error of estimate ($)</t>
  </si>
  <si>
    <t>PRICE ESTIMATOR ▸ sq ft</t>
  </si>
  <si>
    <t>Estimated price</t>
  </si>
  <si>
    <t>Likely range (±1 SE)</t>
  </si>
  <si>
    <t>Uses the outlier-free model; sq ft only — neighborhood and type would sharpen it.</t>
  </si>
  <si>
    <t>7  ▸  CONDITION — DRILL-DOWN</t>
  </si>
  <si>
    <t>How property condition relates to price, size, speed and negotiation (descriptive, not causal).</t>
  </si>
  <si>
    <t>Graph 7 of 8   •   use the buttons to move between graphs or return to the dashboard</t>
  </si>
  <si>
    <t>EXCELLENT vs POOR PRICE</t>
  </si>
  <si>
    <t>EXCELLENT vs POOR $/SQ FT</t>
  </si>
  <si>
    <t>DAYS FASTER (EXCELLENT)</t>
  </si>
  <si>
    <t>MOST COMMON CONDITION</t>
  </si>
  <si>
    <t>Condition</t>
  </si>
  <si>
    <t>Excellent</t>
  </si>
  <si>
    <t>Good</t>
  </si>
  <si>
    <t>Fair</t>
  </si>
  <si>
    <t>Poor</t>
  </si>
  <si>
    <t>Unknown</t>
  </si>
  <si>
    <t>8  ▸  BEDROOMS — DRILL-DOWN</t>
  </si>
  <si>
    <t>How the number of bedrooms shapes price, size and price per square foot.</t>
  </si>
  <si>
    <t>Graph 8 of 8   •   use the buttons to move between graphs or return to the dashboard</t>
  </si>
  <si>
    <t>MOST COMMON</t>
  </si>
  <si>
    <t>AVG STEP PER EXTRA BEDROOM</t>
  </si>
  <si>
    <t>5 BR vs 3 BR PREMIUM</t>
  </si>
  <si>
    <t>MARKET AVG BEDROOMS</t>
  </si>
  <si>
    <t>Bedrooms</t>
  </si>
  <si>
    <t>Avg Baths</t>
  </si>
  <si>
    <t>Δ Price vs prev BR</t>
  </si>
  <si>
    <t>Δ % vs prev BR</t>
  </si>
  <si>
    <t>6 bedrooms = one sale only (the $3.31M luxury home) — ignore that row when judging trends.</t>
  </si>
  <si>
    <t>PIVOT TABLES — live, formula-driven summaries of Data_Clean</t>
  </si>
  <si>
    <t>Every cell is a SUMIFS / COUNTIFS / AVERAGEIFS / MEDIAN(IF()) formula on the cleaned data, so all tables (and the dashboard charts built on them) refresh when Data_Clean changes. Blue = editable inputs.</t>
  </si>
  <si>
    <t>1 ▸ BY NEIGHBORHOOD</t>
  </si>
  <si>
    <t>Avg Commission %</t>
  </si>
  <si>
    <t>Grand Total</t>
  </si>
  <si>
    <t>2 ▸ BY PROPERTY TYPE</t>
  </si>
  <si>
    <t>3 ▸ BY CONDITION</t>
  </si>
  <si>
    <t>4 ▸ BY BEDROOMS  (6 bedrooms = 1 sale only, treat with caution)</t>
  </si>
  <si>
    <t>5 ▸ MONTHLY TREND  (Aug-26 is a partial month — data ends 23-Aug-2026)</t>
  </si>
  <si>
    <t>3-mo Rolling Avg Price</t>
  </si>
  <si>
    <t>Chart Label</t>
  </si>
  <si>
    <t>Rolling avg = volume-weighted over the trailing 3 months (first two months use the months available).</t>
  </si>
  <si>
    <t>6 ▸ SALE PRICE DISTRIBUTION  (edit the blue lower bounds / labels — Data_Clean price_band updates)</t>
  </si>
  <si>
    <t>Band label</t>
  </si>
  <si>
    <t>Lower bound ($)</t>
  </si>
  <si>
    <t>Under $200K</t>
  </si>
  <si>
    <t>$200-300K</t>
  </si>
  <si>
    <t>$300-400K</t>
  </si>
  <si>
    <t>$400-500K</t>
  </si>
  <si>
    <t>$500-600K</t>
  </si>
  <si>
    <t>$600-800K</t>
  </si>
  <si>
    <t>$800K+</t>
  </si>
  <si>
    <t>7 ▸ BY YEAR BUILT (era)  — homes with unknown year_built are excluded</t>
  </si>
  <si>
    <t>Era</t>
  </si>
  <si>
    <t>From year</t>
  </si>
  <si>
    <t>To year</t>
  </si>
  <si>
    <t>Pre-1960</t>
  </si>
  <si>
    <t>1960-1979</t>
  </si>
  <si>
    <t>1980-1999</t>
  </si>
  <si>
    <t>2000-2014</t>
  </si>
  <si>
    <t>2015+</t>
  </si>
  <si>
    <t>8 ▸ HEATMAP — AVG SALE PRICE  (neighborhood × property type)</t>
  </si>
  <si>
    <t>All areas</t>
  </si>
  <si>
    <t>9 ▸ HEATMAP — AVG PRICE PER SQ FT</t>
  </si>
  <si>
    <t>10 ▸ SALES COUNT  (neighborhood × property type)</t>
  </si>
  <si>
    <t>STATISTICAL ANALYSIS</t>
  </si>
  <si>
    <t>Descriptive statistics, outlier fences, correlations, a price-per-sqft regression and negotiation analysis — all live formulas.</t>
  </si>
  <si>
    <t>A ▸ DESCRIPTIVE STATISTICS</t>
  </si>
  <si>
    <t>Count</t>
  </si>
  <si>
    <t>Std Dev</t>
  </si>
  <si>
    <t>Min</t>
  </si>
  <si>
    <t>Q1</t>
  </si>
  <si>
    <t>Q3</t>
  </si>
  <si>
    <t>Max</t>
  </si>
  <si>
    <t>Skew</t>
  </si>
  <si>
    <t>Sale price ($)</t>
  </si>
  <si>
    <t>List price ($)</t>
  </si>
  <si>
    <t>Living area (sq ft)</t>
  </si>
  <si>
    <t>Price per sq ft ($)</t>
  </si>
  <si>
    <t>Lot size (sq ft)</t>
  </si>
  <si>
    <t>Bathrooms</t>
  </si>
  <si>
    <t>Days on market</t>
  </si>
  <si>
    <t>Sale-to-list ratio</t>
  </si>
  <si>
    <t>Agent commission (%)</t>
  </si>
  <si>
    <t>Skew &gt; 1 means a long right tail (a few very expensive homes / very slow sales) — use the Median rather than the Mean for typical values.</t>
  </si>
  <si>
    <t>B ▸ OUTLIER DETECTION  (Tukey IQR fences: Q1 − k·IQR, Q3 + k·IQR)</t>
  </si>
  <si>
    <t>IQR multiplier k</t>
  </si>
  <si>
    <t>Blue input — standard Tukey value is 1.5</t>
  </si>
  <si>
    <t>IQR</t>
  </si>
  <si>
    <t>Lower fence</t>
  </si>
  <si>
    <t>Upper fence</t>
  </si>
  <si>
    <t>Rows flagged</t>
  </si>
  <si>
    <t>Total rows with any flag</t>
  </si>
  <si>
    <t>Flagged rows are KEPT (they are real sales) and labelled in Data_Clean › outlier_flag. Filter that column to exclude them.</t>
  </si>
  <si>
    <t>C ▸ WHAT DRIVES SALE PRICE?  (Pearson correlation with sale price)</t>
  </si>
  <si>
    <t>Variable</t>
  </si>
  <si>
    <t>Correlation (r)</t>
  </si>
  <si>
    <t>R² (shared variance)</t>
  </si>
  <si>
    <t>Garage spaces</t>
  </si>
  <si>
    <t>Year built</t>
  </si>
  <si>
    <t>Correlation is not causation: sq ft, lot size, bedrooms and bathrooms all move together (multicollinearity).</t>
  </si>
  <si>
    <t>D ▸ SIMPLE LINEAR REGRESSION:  Sale price = Intercept + Slope × Sq ft</t>
  </si>
  <si>
    <t>Statistic</t>
  </si>
  <si>
    <t>Excl. flagged outliers</t>
  </si>
  <si>
    <t>Slope ($ per extra sq ft)</t>
  </si>
  <si>
    <t>Intercept ($)</t>
  </si>
  <si>
    <t>R² (goodness of fit)</t>
  </si>
  <si>
    <t>PRICE ESTIMATOR ▸ enter sq ft →</t>
  </si>
  <si>
    <t>Estimated sale price (excl. outliers model)</t>
  </si>
  <si>
    <t>Approx. range (± 1 std error)</t>
  </si>
  <si>
    <t>The single $3.3M / 6,400 sq ft mansion inflates the "All sales" slope, so the outlier-free model (col C) is used for the estimator, dashboard text and trend line.</t>
  </si>
  <si>
    <t>Trend-line points (for dashboard chart)</t>
  </si>
  <si>
    <t>Sq ft (x)</t>
  </si>
  <si>
    <t>Est. price (y)</t>
  </si>
  <si>
    <t>Point 1</t>
  </si>
  <si>
    <t>Point 2</t>
  </si>
  <si>
    <t>E ▸ NEGOTIATION POWER — sale price vs. list price</t>
  </si>
  <si>
    <t>Avg sale-to-list ratio</t>
  </si>
  <si>
    <t>Median sale-to-list ratio</t>
  </si>
  <si>
    <t>% sold ABOVE list</t>
  </si>
  <si>
    <t>% sold AT list</t>
  </si>
  <si>
    <t>% sold BELOW list</t>
  </si>
  <si>
    <t>Avg $ below list (all sales)</t>
  </si>
  <si>
    <t>Avg $ below list (sold under list only)</t>
  </si>
  <si>
    <t>Time on market</t>
  </si>
  <si>
    <t>From (days)</t>
  </si>
  <si>
    <t>To (days)</t>
  </si>
  <si>
    <t>Fast (≤ 40 days)</t>
  </si>
  <si>
    <t>Normal (41-60)</t>
  </si>
  <si>
    <t>Slow (61-90)</t>
  </si>
  <si>
    <t>Very slow (&gt; 90)</t>
  </si>
  <si>
    <t>F ▸ ANALYST NOTES &amp; CAVEATS</t>
  </si>
  <si>
    <t>• Sample is 250 sales (Jan-2025 → 23-Aug-2026); Aug-2026 is a partial month and Unknown-neighborhood (4) / 6-bedroom (1) groups are too small for conclusions.</t>
  </si>
  <si>
    <t>• 8 living-area, 7 bathroom, 9 lot-size and 16 garage values were imputed with group medians (see Cleaning_Log) — $/sqft for those 8 rows is an estimate.</t>
  </si>
  <si>
    <t>• Days-on-market, commission % and year built were NOT imputed (blank = unknown) so averages use only rows that have a value.</t>
  </si>
  <si>
    <t>• Condition is entangled with neighborhood and property-type mix — the condition premium is descriptive, not a controlled effect.</t>
  </si>
  <si>
    <t>• Regression is a single-variable model: R² shows how much of price variation sq ft alone explains; neighborhood and type would add more.</t>
  </si>
  <si>
    <t>G ▸ DASHBOARD FILTER HELPERS  (used by the KPI cards — do not edit)</t>
  </si>
  <si>
    <t>Neighborhood criterion</t>
  </si>
  <si>
    <t>Property-type criterion</t>
  </si>
  <si>
    <t>DATA CLEANING LOG</t>
  </si>
  <si>
    <t>Every transformation applied to Data_Raw to produce Data_Clean. Counts are live formulas against both sheets.</t>
  </si>
  <si>
    <t>A ▸ BEFORE vs AFTER</t>
  </si>
  <si>
    <t>Note</t>
  </si>
  <si>
    <t>Raw</t>
  </si>
  <si>
    <t>Clean</t>
  </si>
  <si>
    <t>Comment</t>
  </si>
  <si>
    <t>Records</t>
  </si>
  <si>
    <t>Rows of data</t>
  </si>
  <si>
    <t>No rows dropped — all 250 sales retained</t>
  </si>
  <si>
    <t>Duplicate sale_ids</t>
  </si>
  <si>
    <t>Same ID appearing &gt;1×</t>
  </si>
  <si>
    <t>None found</t>
  </si>
  <si>
    <t>Blank cells (fields C:O)</t>
  </si>
  <si>
    <t>Missing values</t>
  </si>
  <si>
    <t>Remaining blanks are intentional (year_built, DOM, commission)</t>
  </si>
  <si>
    <t>Neighborhood labels</t>
  </si>
  <si>
    <t>Distinct spellings</t>
  </si>
  <si>
    <t>5 real areas + "Unknown"</t>
  </si>
  <si>
    <t>Property-type labels</t>
  </si>
  <si>
    <t>Condo / Single Family / Townhouse</t>
  </si>
  <si>
    <t>Condition labels</t>
  </si>
  <si>
    <t>Excellent / Good / Fair / Poor + "Unknown"</t>
  </si>
  <si>
    <t>B ▸ FIELD-BY-FIELD ISSUES AND TREATMENT</t>
  </si>
  <si>
    <t>Field</t>
  </si>
  <si>
    <t>Issue found</t>
  </si>
  <si>
    <t>Rows affected</t>
  </si>
  <si>
    <t>Treatment</t>
  </si>
  <si>
    <t>Rationale</t>
  </si>
  <si>
    <t>sale_date</t>
  </si>
  <si>
    <t>Stored as text (yyyy-mm-dd)</t>
  </si>
  <si>
    <t>Converted to true Excel dates</t>
  </si>
  <si>
    <t>Enables month grouping and time-series charts</t>
  </si>
  <si>
    <t>neighborhood</t>
  </si>
  <si>
    <t>Case, spacing, punctuation and typo variants (e.g. "OakHill", "Oak Hl.", "Cedar Pk")</t>
  </si>
  <si>
    <t>Mapped to 5 canonical names</t>
  </si>
  <si>
    <t>Prevents one area being split into many pivot rows</t>
  </si>
  <si>
    <t>Blank values</t>
  </si>
  <si>
    <t>Set to "Unknown"</t>
  </si>
  <si>
    <t>Cannot be inferred from other fields; keeps the sale in overall totals</t>
  </si>
  <si>
    <t>property_type</t>
  </si>
  <si>
    <t>13 variants (SFH, Condominium, TH, single fam …)</t>
  </si>
  <si>
    <t>Mapped to Condo / Single Family / Townhouse</t>
  </si>
  <si>
    <t>Consistent grouping</t>
  </si>
  <si>
    <t>condition</t>
  </si>
  <si>
    <t>Case variants, "Exc.", literal "unknown"</t>
  </si>
  <si>
    <t>Mapped to 4 levels; "unknown" → "Unknown"</t>
  </si>
  <si>
    <t>Not guessed — condition is subjective</t>
  </si>
  <si>
    <t>bathrooms</t>
  </si>
  <si>
    <t>Missing</t>
  </si>
  <si>
    <t>Imputed: median of same bedrooms × property type (rounded to 0.5)</t>
  </si>
  <si>
    <t>Structural attribute strongly tied to bedrooms/type</t>
  </si>
  <si>
    <t>sqft</t>
  </si>
  <si>
    <t>Imputed: median of same bedrooms × property type (rounded to 10)</t>
  </si>
  <si>
    <t>Needed so every row has a $/sqft value</t>
  </si>
  <si>
    <t>lot_size_sqft</t>
  </si>
  <si>
    <t>0 for condos = genuinely no lot (NOT an error); some values missing</t>
  </si>
  <si>
    <t>Missing condo lots set to 0</t>
  </si>
  <si>
    <t>Condos do not own land</t>
  </si>
  <si>
    <t>Missing for houses/townhouses</t>
  </si>
  <si>
    <t>Imputed: median lot size for the property type</t>
  </si>
  <si>
    <t>Structural attribute</t>
  </si>
  <si>
    <t>garage_spaces</t>
  </si>
  <si>
    <t>Imputed: median for the property type</t>
  </si>
  <si>
    <t>year_built</t>
  </si>
  <si>
    <t>LEFT BLANK</t>
  </si>
  <si>
    <t>No reliable basis to invent a build year; age metrics skip these rows</t>
  </si>
  <si>
    <t>days_on_market</t>
  </si>
  <si>
    <t>Market-timing outcome — imputing would bias speed metrics</t>
  </si>
  <si>
    <t>agent_commission_pct</t>
  </si>
  <si>
    <t>Not needed for core analysis; avoids fabricated commissions</t>
  </si>
  <si>
    <t>sale_price / list_price</t>
  </si>
  <si>
    <t>No missing values, but extreme values exist (e.g. a $3.31M / 6,400 sq ft sale; a 412-day listing)</t>
  </si>
  <si>
    <t>FLAGGED via IQR fences in outlier_flag (rows affected = rows flagged); NOT removed</t>
  </si>
  <si>
    <t>Real transactions; Median is used for “typical” values</t>
  </si>
  <si>
    <t>C ▸ STANDARDISATION MAP  (raw value → clean value, with case-sensitive counts from Data_Raw)</t>
  </si>
  <si>
    <t>Raw value (exact, incl. spaces/case)</t>
  </si>
  <si>
    <t>Rows in raw</t>
  </si>
  <si>
    <t>Standardised to</t>
  </si>
  <si>
    <t>Cedar Pk</t>
  </si>
  <si>
    <t>CedarPark</t>
  </si>
  <si>
    <t>DOWNTOWN</t>
  </si>
  <si>
    <t>Down Town</t>
  </si>
  <si>
    <t>downtown</t>
  </si>
  <si>
    <t>Maple Heights.</t>
  </si>
  <si>
    <t>Maple Hts</t>
  </si>
  <si>
    <t>maple heights</t>
  </si>
  <si>
    <t>OAK HILL</t>
  </si>
  <si>
    <t>Oak Hl.</t>
  </si>
  <si>
    <t>OakHill</t>
  </si>
  <si>
    <t>River Side</t>
  </si>
  <si>
    <t xml:space="preserve">Riverside </t>
  </si>
  <si>
    <t>↑ contains leading/trailing space</t>
  </si>
  <si>
    <t>riverside</t>
  </si>
  <si>
    <t>(blank)</t>
  </si>
  <si>
    <t>CONDO</t>
  </si>
  <si>
    <t>Condominium</t>
  </si>
  <si>
    <t>condo</t>
  </si>
  <si>
    <t>SFH</t>
  </si>
  <si>
    <t>Single family</t>
  </si>
  <si>
    <t>single fam</t>
  </si>
  <si>
    <t>single-family</t>
  </si>
  <si>
    <t>TH</t>
  </si>
  <si>
    <t>Townhome</t>
  </si>
  <si>
    <t>townhouse</t>
  </si>
  <si>
    <t>Exc.</t>
  </si>
  <si>
    <t>excellent</t>
  </si>
  <si>
    <t>fair</t>
  </si>
  <si>
    <t>GOOD</t>
  </si>
  <si>
    <t>good</t>
  </si>
  <si>
    <t>poor</t>
  </si>
  <si>
    <t>unknown</t>
  </si>
  <si>
    <t>sale_id</t>
  </si>
  <si>
    <t>bedrooms</t>
  </si>
  <si>
    <t>list_price</t>
  </si>
  <si>
    <t>sale_price</t>
  </si>
  <si>
    <t>sale_month</t>
  </si>
  <si>
    <t>price_per_sqft</t>
  </si>
  <si>
    <t>sale_to_list</t>
  </si>
  <si>
    <t>price_vs_list</t>
  </si>
  <si>
    <t>commission_usd</t>
  </si>
  <si>
    <t>home_age_at_sale</t>
  </si>
  <si>
    <t>price_band</t>
  </si>
  <si>
    <t>outlier_flag</t>
  </si>
  <si>
    <t>cleaning_notes</t>
  </si>
  <si>
    <t>property_type standardised; condition standardised; commission left blank</t>
  </si>
  <si>
    <t>neighborhood standardised</t>
  </si>
  <si>
    <t>condition standardised; commission left blank</t>
  </si>
  <si>
    <t>condition standardised</t>
  </si>
  <si>
    <t>year_built left blank</t>
  </si>
  <si>
    <t>condition missing -&gt; Unknown; living sqft imputed (group median); garage imputed (group median)</t>
  </si>
  <si>
    <t>neighborhood standardised; condition standardised</t>
  </si>
  <si>
    <t>year_built left blank; commission left blank</t>
  </si>
  <si>
    <t>condition standardised; living sqft imputed (group median)</t>
  </si>
  <si>
    <t>days_on_market left blank</t>
  </si>
  <si>
    <t>lot size set to 0 (condo, no lot)</t>
  </si>
  <si>
    <t>property_type standardised</t>
  </si>
  <si>
    <t>living sqft imputed (group median)</t>
  </si>
  <si>
    <t>neighborhood standardised; living sqft imputed (group median)</t>
  </si>
  <si>
    <t>lot size imputed (group median)</t>
  </si>
  <si>
    <t>neighborhood standardised; condition missing -&gt; Unknown</t>
  </si>
  <si>
    <t>property_type standardised; days_on_market left blank</t>
  </si>
  <si>
    <t>property_type standardised; condition missing -&gt; Unknown</t>
  </si>
  <si>
    <t>garage imputed (group median)</t>
  </si>
  <si>
    <t>condition missing -&gt; Unknown</t>
  </si>
  <si>
    <t>bathrooms imputed (group median)</t>
  </si>
  <si>
    <t>property_type standardised; condition standardised; garage imputed (group median)</t>
  </si>
  <si>
    <t>property_type standardised; condition standardised</t>
  </si>
  <si>
    <t>neighborhood standardised; property_type standardised</t>
  </si>
  <si>
    <t>commission left blank</t>
  </si>
  <si>
    <t>bathrooms imputed (group median); year_built left blank</t>
  </si>
  <si>
    <t>neighborhood missing -&gt; Unknown</t>
  </si>
  <si>
    <t>property_type standardised; condition missing -&gt; Unknown; garage imputed (group median)</t>
  </si>
  <si>
    <t>neighborhood standardised; commission left blank</t>
  </si>
  <si>
    <t>condition standardised; year_built left blank</t>
  </si>
  <si>
    <t>property_type standardised; garage imputed (group median)</t>
  </si>
  <si>
    <t>condition missing -&gt; Unknown; garage imputed (group median); commission left blank</t>
  </si>
  <si>
    <t>condition standardised; days_on_market left blank</t>
  </si>
  <si>
    <t>property_type standardised; lot size imputed (group median)</t>
  </si>
  <si>
    <t>property_type standardised; living sqft imputed (group median)</t>
  </si>
  <si>
    <t>lot size imputed (group median); garage imputed (group median)</t>
  </si>
  <si>
    <t>neighborhood standardised; condition standardised; bathrooms imputed (group median); lot size set to 0 (condo, no lot)</t>
  </si>
  <si>
    <t>neighborhood standardised; lot size imputed (group median); garage imputed (group median)</t>
  </si>
  <si>
    <t>property_type standardised; commission left blank</t>
  </si>
  <si>
    <t>neighborhood missing -&gt; Unknown; garage imputed (group median); commission left blank</t>
  </si>
  <si>
    <t>neighborhood standardised; condition standardised; year_built left blank</t>
  </si>
  <si>
    <t>condition missing -&gt; Unknown; lot size set to 0 (condo, no lot)</t>
  </si>
  <si>
    <t>condition standardised; lot size imputed (group median)</t>
  </si>
  <si>
    <t>neighborhood standardised; lot size imputed (group median)</t>
  </si>
  <si>
    <t>neighborhood standardised; year_built left blank</t>
  </si>
  <si>
    <t>neighborhood standardised; property_type standardised; commission left blank</t>
  </si>
  <si>
    <t>living sqft imputed (group median); days_on_market left blank</t>
  </si>
  <si>
    <t>neighborhood standardised; garage imputed (group median)</t>
  </si>
  <si>
    <t>condition standardised; bathrooms imputed (group median)</t>
  </si>
  <si>
    <t>2025-01-01</t>
  </si>
  <si>
    <t>2025-01-02</t>
  </si>
  <si>
    <t>2025-01-04</t>
  </si>
  <si>
    <t>2025-01-07</t>
  </si>
  <si>
    <t>2025-01-12</t>
  </si>
  <si>
    <t>2025-01-15</t>
  </si>
  <si>
    <t>2025-01-16</t>
  </si>
  <si>
    <t>2025-01-17</t>
  </si>
  <si>
    <t>2025-01-19</t>
  </si>
  <si>
    <t>2025-01-24</t>
  </si>
  <si>
    <t>2025-01-25</t>
  </si>
  <si>
    <t>2025-01-27</t>
  </si>
  <si>
    <t>2025-01-28</t>
  </si>
  <si>
    <t>2025-02-01</t>
  </si>
  <si>
    <t>2025-02-03</t>
  </si>
  <si>
    <t>2025-02-04</t>
  </si>
  <si>
    <t>2025-02-07</t>
  </si>
  <si>
    <t>2025-02-08</t>
  </si>
  <si>
    <t>2025-02-14</t>
  </si>
  <si>
    <t>2025-02-22</t>
  </si>
  <si>
    <t>2025-02-23</t>
  </si>
  <si>
    <t>2025-02-25</t>
  </si>
  <si>
    <t>2025-02-27</t>
  </si>
  <si>
    <t>2025-02-28</t>
  </si>
  <si>
    <t>2025-03-02</t>
  </si>
  <si>
    <t>2025-03-05</t>
  </si>
  <si>
    <t>2025-03-07</t>
  </si>
  <si>
    <t>2025-03-08</t>
  </si>
  <si>
    <t>2025-03-09</t>
  </si>
  <si>
    <t>2025-03-18</t>
  </si>
  <si>
    <t>2025-03-19</t>
  </si>
  <si>
    <t>2025-03-21</t>
  </si>
  <si>
    <t>2025-03-22</t>
  </si>
  <si>
    <t>2025-03-24</t>
  </si>
  <si>
    <t>2025-03-26</t>
  </si>
  <si>
    <t>2025-03-27</t>
  </si>
  <si>
    <t>2025-03-28</t>
  </si>
  <si>
    <t>2025-03-29</t>
  </si>
  <si>
    <t>2025-03-30</t>
  </si>
  <si>
    <t>2025-04-04</t>
  </si>
  <si>
    <t>2025-04-06</t>
  </si>
  <si>
    <t>2025-04-12</t>
  </si>
  <si>
    <t>2025-04-13</t>
  </si>
  <si>
    <t>2025-04-15</t>
  </si>
  <si>
    <t>2025-04-16</t>
  </si>
  <si>
    <t>2025-04-17</t>
  </si>
  <si>
    <t>2025-04-24</t>
  </si>
  <si>
    <t>2025-04-26</t>
  </si>
  <si>
    <t>2025-04-29</t>
  </si>
  <si>
    <t>2025-05-03</t>
  </si>
  <si>
    <t>2025-05-05</t>
  </si>
  <si>
    <t>2025-05-06</t>
  </si>
  <si>
    <t>2025-05-10</t>
  </si>
  <si>
    <t>2025-05-17</t>
  </si>
  <si>
    <t>2025-05-23</t>
  </si>
  <si>
    <t>2025-05-26</t>
  </si>
  <si>
    <t>2025-05-30</t>
  </si>
  <si>
    <t>2025-05-31</t>
  </si>
  <si>
    <t>2025-06-02</t>
  </si>
  <si>
    <t>2025-06-06</t>
  </si>
  <si>
    <t>2025-06-09</t>
  </si>
  <si>
    <t>2025-06-10</t>
  </si>
  <si>
    <t>2025-06-12</t>
  </si>
  <si>
    <t>2025-06-19</t>
  </si>
  <si>
    <t>2025-06-21</t>
  </si>
  <si>
    <t>2025-06-26</t>
  </si>
  <si>
    <t>2025-06-27</t>
  </si>
  <si>
    <t>2025-06-29</t>
  </si>
  <si>
    <t>2025-07-03</t>
  </si>
  <si>
    <t>2025-07-06</t>
  </si>
  <si>
    <t>2025-07-07</t>
  </si>
  <si>
    <t>2025-07-10</t>
  </si>
  <si>
    <t>2025-07-11</t>
  </si>
  <si>
    <t>2025-07-14</t>
  </si>
  <si>
    <t>2025-07-16</t>
  </si>
  <si>
    <t>2025-07-18</t>
  </si>
  <si>
    <t>2025-07-20</t>
  </si>
  <si>
    <t>2025-07-24</t>
  </si>
  <si>
    <t>2025-07-25</t>
  </si>
  <si>
    <t>2025-07-28</t>
  </si>
  <si>
    <t>2025-07-30</t>
  </si>
  <si>
    <t>2025-07-31</t>
  </si>
  <si>
    <t>2025-08-01</t>
  </si>
  <si>
    <t>2025-08-03</t>
  </si>
  <si>
    <t>2025-08-06</t>
  </si>
  <si>
    <t>2025-08-08</t>
  </si>
  <si>
    <t>2025-08-09</t>
  </si>
  <si>
    <t>2025-08-11</t>
  </si>
  <si>
    <t>2025-08-14</t>
  </si>
  <si>
    <t>2025-08-19</t>
  </si>
  <si>
    <t>2025-08-26</t>
  </si>
  <si>
    <t>2025-08-29</t>
  </si>
  <si>
    <t>2025-08-30</t>
  </si>
  <si>
    <t>2025-09-05</t>
  </si>
  <si>
    <t>2025-09-06</t>
  </si>
  <si>
    <t>2025-09-14</t>
  </si>
  <si>
    <t>2025-09-15</t>
  </si>
  <si>
    <t>2025-09-17</t>
  </si>
  <si>
    <t>2025-09-23</t>
  </si>
  <si>
    <t>2025-09-24</t>
  </si>
  <si>
    <t>2025-09-25</t>
  </si>
  <si>
    <t>2025-09-28</t>
  </si>
  <si>
    <t>2025-09-30</t>
  </si>
  <si>
    <t>2025-10-01</t>
  </si>
  <si>
    <t>2025-10-04</t>
  </si>
  <si>
    <t>2025-10-06</t>
  </si>
  <si>
    <t>2025-10-07</t>
  </si>
  <si>
    <t>2025-10-08</t>
  </si>
  <si>
    <t>2025-10-09</t>
  </si>
  <si>
    <t>2025-10-13</t>
  </si>
  <si>
    <t>2025-10-14</t>
  </si>
  <si>
    <t>2025-10-17</t>
  </si>
  <si>
    <t>2025-10-21</t>
  </si>
  <si>
    <t>2025-10-28</t>
  </si>
  <si>
    <t>2025-11-01</t>
  </si>
  <si>
    <t>2025-11-05</t>
  </si>
  <si>
    <t>2025-11-08</t>
  </si>
  <si>
    <t>2025-11-12</t>
  </si>
  <si>
    <t>2025-11-14</t>
  </si>
  <si>
    <t>2025-11-15</t>
  </si>
  <si>
    <t>2025-11-19</t>
  </si>
  <si>
    <t>2025-11-28</t>
  </si>
  <si>
    <t>2025-12-09</t>
  </si>
  <si>
    <t>2025-12-10</t>
  </si>
  <si>
    <t>2025-12-11</t>
  </si>
  <si>
    <t>2025-12-21</t>
  </si>
  <si>
    <t>2025-12-23</t>
  </si>
  <si>
    <t>2025-12-27</t>
  </si>
  <si>
    <t>2025-12-29</t>
  </si>
  <si>
    <t>2026-01-03</t>
  </si>
  <si>
    <t>2026-01-05</t>
  </si>
  <si>
    <t>2026-01-07</t>
  </si>
  <si>
    <t>2026-01-08</t>
  </si>
  <si>
    <t>2026-01-11</t>
  </si>
  <si>
    <t>2026-01-13</t>
  </si>
  <si>
    <t>2026-01-14</t>
  </si>
  <si>
    <t>2026-01-15</t>
  </si>
  <si>
    <t>2026-01-16</t>
  </si>
  <si>
    <t>2026-01-17</t>
  </si>
  <si>
    <t>2026-01-20</t>
  </si>
  <si>
    <t>2026-01-23</t>
  </si>
  <si>
    <t>2026-01-30</t>
  </si>
  <si>
    <t>2026-01-31</t>
  </si>
  <si>
    <t>2026-02-02</t>
  </si>
  <si>
    <t>2026-02-03</t>
  </si>
  <si>
    <t>2026-02-04</t>
  </si>
  <si>
    <t>2026-02-07</t>
  </si>
  <si>
    <t>2026-02-09</t>
  </si>
  <si>
    <t>2026-02-14</t>
  </si>
  <si>
    <t>2026-02-16</t>
  </si>
  <si>
    <t>2026-02-17</t>
  </si>
  <si>
    <t>2026-02-25</t>
  </si>
  <si>
    <t>2026-03-13</t>
  </si>
  <si>
    <t>2026-03-14</t>
  </si>
  <si>
    <t>2026-03-16</t>
  </si>
  <si>
    <t>2026-03-18</t>
  </si>
  <si>
    <t>2026-03-20</t>
  </si>
  <si>
    <t>2026-03-24</t>
  </si>
  <si>
    <t>2026-03-25</t>
  </si>
  <si>
    <t>2026-03-27</t>
  </si>
  <si>
    <t>2026-04-01</t>
  </si>
  <si>
    <t>2026-04-02</t>
  </si>
  <si>
    <t>2026-04-04</t>
  </si>
  <si>
    <t>2026-04-10</t>
  </si>
  <si>
    <t>2026-04-17</t>
  </si>
  <si>
    <t>2026-04-23</t>
  </si>
  <si>
    <t>2026-05-01</t>
  </si>
  <si>
    <t>2026-05-02</t>
  </si>
  <si>
    <t>2026-05-03</t>
  </si>
  <si>
    <t>2026-05-04</t>
  </si>
  <si>
    <t>2026-05-06</t>
  </si>
  <si>
    <t>2026-05-07</t>
  </si>
  <si>
    <t>2026-05-11</t>
  </si>
  <si>
    <t>2026-05-13</t>
  </si>
  <si>
    <t>2026-05-18</t>
  </si>
  <si>
    <t>2026-05-19</t>
  </si>
  <si>
    <t>2026-05-20</t>
  </si>
  <si>
    <t>2026-05-25</t>
  </si>
  <si>
    <t>2026-05-27</t>
  </si>
  <si>
    <t>2026-06-01</t>
  </si>
  <si>
    <t>2026-06-07</t>
  </si>
  <si>
    <t>2026-06-09</t>
  </si>
  <si>
    <t>2026-06-13</t>
  </si>
  <si>
    <t>2026-06-15</t>
  </si>
  <si>
    <t>2026-06-16</t>
  </si>
  <si>
    <t>2026-06-21</t>
  </si>
  <si>
    <t>2026-06-23</t>
  </si>
  <si>
    <t>2026-07-02</t>
  </si>
  <si>
    <t>2026-07-04</t>
  </si>
  <si>
    <t>2026-07-07</t>
  </si>
  <si>
    <t>2026-07-08</t>
  </si>
  <si>
    <t>2026-07-09</t>
  </si>
  <si>
    <t>2026-07-11</t>
  </si>
  <si>
    <t>2026-07-13</t>
  </si>
  <si>
    <t>2026-07-14</t>
  </si>
  <si>
    <t>2026-07-15</t>
  </si>
  <si>
    <t>2026-07-21</t>
  </si>
  <si>
    <t>2026-07-25</t>
  </si>
  <si>
    <t>2026-07-27</t>
  </si>
  <si>
    <t>2026-07-29</t>
  </si>
  <si>
    <t>2026-07-30</t>
  </si>
  <si>
    <t>2026-07-31</t>
  </si>
  <si>
    <t>2026-08-02</t>
  </si>
  <si>
    <t>2026-08-12</t>
  </si>
  <si>
    <t>2026-08-13</t>
  </si>
  <si>
    <t>2026-08-23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</si>
</sst>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64" formatCode="\$#,##0.0,,\M"/>
    <numFmt numFmtId="165" formatCode="\$#,##0"/>
    <numFmt numFmtId="166" formatCode="0.0"/>
    <numFmt numFmtId="167" formatCode="0.0%"/>
    <numFmt numFmtId="168" formatCode="\$#,##0,\K"/>
    <numFmt numFmtId="169" formatCode="mmm\-yy"/>
    <numFmt numFmtId="170" formatCode="\+0.0%;\-0.0%"/>
    <numFmt numFmtId="171" formatCode="\$#,##0;&quot;($&quot;#,##0\)"/>
    <numFmt numFmtId="172" formatCode="#,##0;\(#,##0\)"/>
    <numFmt numFmtId="173" formatCode="0.00;\(0.00\)"/>
    <numFmt numFmtId="174" formatCode="0.0;\(0.0\)"/>
    <numFmt numFmtId="175" formatCode="\+0%;\-0%"/>
    <numFmt numFmtId="176" formatCode="\$#,##0.00"/>
    <numFmt numFmtId="177" formatCode="0.000"/>
    <numFmt numFmtId="178" formatCode="yyyy\-mm\-dd"/>
    <numFmt numFmtId="179" formatCode="#,##0;\(#,##0\);\-"/>
    <numFmt numFmtId="180" formatCode="\$#,##0;&quot;($&quot;#,##0\);\-"/>
  </numFmts>
  <fonts count="29" x14ac:knownFonts="1">
    <font>
      <sz val="11"/>
      <color theme="1"/>
      <name val="Calibri"/>
      <family val="2"/>
      <charset val="1"/>
    </font>
    <font>
      <b/>
      <sz val="20"/>
      <color rgb="FFFFFFFF"/>
      <name val="Arial"/>
      <charset val="1"/>
    </font>
    <font>
      <i/>
      <sz val="9"/>
      <color rgb="FFFFFFFF"/>
      <name val="Arial"/>
      <charset val="1"/>
    </font>
    <font>
      <b/>
      <sz val="9"/>
      <color rgb="FF1F3A5F"/>
      <name val="Arial"/>
      <charset val="1"/>
    </font>
    <font>
      <b/>
      <sz val="11"/>
      <color rgb="FF0000FF"/>
      <name val="Arial"/>
      <charset val="1"/>
    </font>
    <font>
      <i/>
      <sz val="8"/>
      <color rgb="FF5B6675"/>
      <name val="Arial"/>
      <charset val="1"/>
    </font>
    <font>
      <b/>
      <sz val="8"/>
      <color rgb="FF5B6675"/>
      <name val="Arial"/>
      <charset val="1"/>
    </font>
    <font>
      <b/>
      <sz val="22"/>
      <color rgb="FF1F3A5F"/>
      <name val="Arial"/>
      <charset val="1"/>
    </font>
    <font>
      <i/>
      <sz val="8"/>
      <color rgb="FF2A9D8F"/>
      <name val="Arial"/>
      <charset val="1"/>
    </font>
    <font>
      <b/>
      <sz val="11"/>
      <color rgb="FFFFFFFF"/>
      <name val="Arial"/>
      <charset val="1"/>
    </font>
    <font>
      <sz val="10"/>
      <color rgb="FF22303F"/>
      <name val="Arial"/>
      <charset val="1"/>
    </font>
    <font>
      <b/>
      <u/>
      <sz val="9"/>
      <color rgb="FF1F3A5F"/>
      <name val="Arial"/>
      <charset val="1"/>
    </font>
    <font>
      <b/>
      <sz val="11"/>
      <color rgb="FF1F3A5F"/>
      <name val="Arial"/>
      <charset val="1"/>
    </font>
    <font>
      <b/>
      <sz val="9"/>
      <color rgb="FFFFFFFF"/>
      <name val="Arial"/>
      <charset val="1"/>
    </font>
    <font>
      <b/>
      <sz val="10"/>
      <color rgb="FF22303F"/>
      <name val="Arial"/>
      <charset val="1"/>
    </font>
    <font>
      <b/>
      <sz val="18"/>
      <color rgb="FFFFFFFF"/>
      <name val="Arial"/>
      <charset val="1"/>
    </font>
    <font>
      <b/>
      <sz val="18"/>
      <color rgb="FF1F3A5F"/>
      <name val="Arial"/>
      <charset val="1"/>
    </font>
    <font>
      <b/>
      <sz val="10"/>
      <color rgb="FFFFFFFF"/>
      <name val="Arial"/>
      <charset val="1"/>
    </font>
    <font>
      <sz val="9"/>
      <color rgb="FF22303F"/>
      <name val="Arial"/>
      <charset val="1"/>
    </font>
    <font>
      <b/>
      <sz val="10"/>
      <color rgb="FF1F3A5F"/>
      <name val="Arial"/>
      <charset val="1"/>
    </font>
    <font>
      <i/>
      <sz val="9"/>
      <color rgb="FF5B6675"/>
      <name val="Arial"/>
      <charset val="1"/>
    </font>
    <font>
      <b/>
      <sz val="9"/>
      <color rgb="FF2A9D8F"/>
      <name val="Arial"/>
      <charset val="1"/>
    </font>
    <font>
      <sz val="10"/>
      <color rgb="FF0000FF"/>
      <name val="Arial"/>
      <charset val="1"/>
    </font>
    <font>
      <b/>
      <sz val="16"/>
      <color rgb="FF1F3A5F"/>
      <name val="Arial"/>
      <charset val="1"/>
    </font>
    <font>
      <b/>
      <sz val="10"/>
      <color rgb="FF0000FF"/>
      <name val="Arial"/>
      <charset val="1"/>
    </font>
    <font>
      <i/>
      <sz val="9"/>
      <color rgb="FFE76F51"/>
      <name val="Arial"/>
      <charset val="1"/>
    </font>
    <font>
      <i/>
      <sz val="10"/>
      <color rgb="FF5B6675"/>
      <name val="Arial"/>
      <charset val="1"/>
    </font>
    <font>
      <b/>
      <i/>
      <sz val="8"/>
      <color rgb="FF5B6675"/>
      <name val="Arial"/>
      <family val="2"/>
    </font>
    <font>
      <b/>
      <sz val="14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1F3A5F"/>
        <bgColor rgb="FF22303F"/>
      </patternFill>
    </fill>
    <fill>
      <patternFill patternType="solid">
        <fgColor rgb="FF2A9D8F"/>
        <bgColor rgb="FF008080"/>
      </patternFill>
    </fill>
    <fill>
      <patternFill patternType="solid">
        <fgColor rgb="FFFFFF99"/>
        <bgColor rgb="FFFFFFFF"/>
      </patternFill>
    </fill>
    <fill>
      <patternFill patternType="solid">
        <fgColor rgb="FFEEF2F7"/>
        <bgColor rgb="FFE8ECF2"/>
      </patternFill>
    </fill>
    <fill>
      <patternFill patternType="solid">
        <fgColor rgb="FFFFFFFF"/>
        <bgColor rgb="FFEEF2F7"/>
      </patternFill>
    </fill>
    <fill>
      <patternFill patternType="solid">
        <fgColor rgb="FFD5ECE9"/>
        <bgColor rgb="FFDCE9F7"/>
      </patternFill>
    </fill>
    <fill>
      <patternFill patternType="solid">
        <fgColor rgb="FFE8ECF2"/>
        <bgColor rgb="FFE5E7EB"/>
      </patternFill>
    </fill>
    <fill>
      <patternFill patternType="solid">
        <fgColor rgb="FFDCE9F7"/>
        <bgColor rgb="FFD5ECE9"/>
      </patternFill>
    </fill>
    <fill>
      <patternFill patternType="solid">
        <fgColor rgb="FFE76F51"/>
        <bgColor rgb="FFFF6600"/>
      </patternFill>
    </fill>
    <fill>
      <patternFill patternType="solid">
        <fgColor rgb="FF8D99AE"/>
        <bgColor rgb="FF878787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rgb="FFD9DEE7"/>
      </left>
      <right style="thin">
        <color rgb="FFD9DEE7"/>
      </right>
      <top style="thin">
        <color rgb="FFD9DEE7"/>
      </top>
      <bottom style="thin">
        <color rgb="FFD9DEE7"/>
      </bottom>
      <diagonal/>
    </border>
    <border>
      <left style="thick">
        <color rgb="FF2A9D8F"/>
      </left>
      <right/>
      <top/>
      <bottom/>
      <diagonal/>
    </border>
    <border>
      <left style="thin">
        <color rgb="FF2A9D8F"/>
      </left>
      <right style="thin">
        <color rgb="FF2A9D8F"/>
      </right>
      <top style="thin">
        <color rgb="FF2A9D8F"/>
      </top>
      <bottom style="thin">
        <color rgb="FF2A9D8F"/>
      </bottom>
      <diagonal/>
    </border>
    <border>
      <left/>
      <right/>
      <top/>
      <bottom style="thin">
        <color rgb="FFD9DEE7"/>
      </bottom>
      <diagonal/>
    </border>
    <border>
      <left/>
      <right/>
      <top/>
      <bottom style="medium">
        <color rgb="FF1F3A5F"/>
      </bottom>
      <diagonal/>
    </border>
  </borders>
  <cellStyleXfs count="1">
    <xf numFmtId="0" fontId="0" fillId="0" borderId="0"/>
  </cellStyleXfs>
  <cellXfs count="133">
    <xf numFmtId="0" fontId="0" fillId="0" borderId="0" xfId="0"/>
    <xf numFmtId="0" fontId="10" fillId="5" borderId="0" xfId="0" applyFont="1" applyFill="1" applyAlignment="1">
      <alignment horizontal="left" vertical="center" wrapText="1" indent="1"/>
    </xf>
    <xf numFmtId="0" fontId="9" fillId="2" borderId="0" xfId="0" applyFont="1" applyFill="1" applyAlignment="1">
      <alignment horizontal="left" vertical="center" indent="1"/>
    </xf>
    <xf numFmtId="0" fontId="8" fillId="5" borderId="2" xfId="0" applyFont="1" applyFill="1" applyBorder="1" applyAlignment="1">
      <alignment horizontal="left" vertical="top" indent="1"/>
    </xf>
    <xf numFmtId="167" fontId="7" fillId="5" borderId="2" xfId="0" applyNumberFormat="1" applyFont="1" applyFill="1" applyBorder="1" applyAlignment="1">
      <alignment horizontal="left" vertical="center" indent="1"/>
    </xf>
    <xf numFmtId="166" fontId="7" fillId="5" borderId="2" xfId="0" applyNumberFormat="1" applyFont="1" applyFill="1" applyBorder="1" applyAlignment="1">
      <alignment horizontal="left" vertical="center" indent="1"/>
    </xf>
    <xf numFmtId="165" fontId="7" fillId="5" borderId="2" xfId="0" applyNumberFormat="1" applyFont="1" applyFill="1" applyBorder="1" applyAlignment="1">
      <alignment horizontal="left" vertical="center" indent="1"/>
    </xf>
    <xf numFmtId="164" fontId="7" fillId="5" borderId="2" xfId="0" applyNumberFormat="1" applyFont="1" applyFill="1" applyBorder="1" applyAlignment="1">
      <alignment horizontal="left" vertical="center" indent="1"/>
    </xf>
    <xf numFmtId="3" fontId="7" fillId="5" borderId="2" xfId="0" applyNumberFormat="1" applyFont="1" applyFill="1" applyBorder="1" applyAlignment="1">
      <alignment horizontal="left" vertical="center" indent="1"/>
    </xf>
    <xf numFmtId="0" fontId="6" fillId="5" borderId="2" xfId="0" applyFont="1" applyFill="1" applyBorder="1" applyAlignment="1">
      <alignment horizontal="left" indent="1"/>
    </xf>
    <xf numFmtId="0" fontId="4" fillId="4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2" fillId="3" borderId="0" xfId="0" applyFont="1" applyFill="1" applyAlignment="1">
      <alignment horizontal="left" vertical="center" indent="1"/>
    </xf>
    <xf numFmtId="0" fontId="1" fillId="2" borderId="0" xfId="0" applyFont="1" applyFill="1" applyAlignment="1">
      <alignment horizontal="left" vertical="center" indent="1"/>
    </xf>
    <xf numFmtId="0" fontId="13" fillId="2" borderId="0" xfId="0" applyFont="1" applyFill="1" applyAlignment="1">
      <alignment horizontal="left" vertical="center" wrapText="1"/>
    </xf>
    <xf numFmtId="0" fontId="13" fillId="2" borderId="0" xfId="0" applyFont="1" applyFill="1" applyAlignment="1">
      <alignment horizontal="center" vertical="center" wrapText="1"/>
    </xf>
    <xf numFmtId="0" fontId="14" fillId="0" borderId="1" xfId="0" applyFont="1" applyBorder="1" applyAlignment="1">
      <alignment horizontal="left" vertical="center"/>
    </xf>
    <xf numFmtId="168" fontId="10" fillId="0" borderId="1" xfId="0" applyNumberFormat="1" applyFont="1" applyBorder="1" applyAlignment="1">
      <alignment horizontal="center" vertical="center"/>
    </xf>
    <xf numFmtId="1" fontId="10" fillId="0" borderId="1" xfId="0" applyNumberFormat="1" applyFont="1" applyBorder="1" applyAlignment="1">
      <alignment horizontal="center" vertical="center"/>
    </xf>
    <xf numFmtId="0" fontId="14" fillId="5" borderId="1" xfId="0" applyFont="1" applyFill="1" applyBorder="1" applyAlignment="1">
      <alignment horizontal="left" vertical="center"/>
    </xf>
    <xf numFmtId="168" fontId="14" fillId="5" borderId="1" xfId="0" applyNumberFormat="1" applyFont="1" applyFill="1" applyBorder="1" applyAlignment="1">
      <alignment horizontal="center" vertical="center"/>
    </xf>
    <xf numFmtId="1" fontId="14" fillId="5" borderId="1" xfId="0" applyNumberFormat="1" applyFont="1" applyFill="1" applyBorder="1" applyAlignment="1">
      <alignment horizontal="center" vertical="center"/>
    </xf>
    <xf numFmtId="0" fontId="11" fillId="9" borderId="3" xfId="0" applyFont="1" applyFill="1" applyBorder="1" applyAlignment="1">
      <alignment horizontal="center" vertical="center"/>
    </xf>
    <xf numFmtId="0" fontId="19" fillId="5" borderId="5" xfId="0" applyFont="1" applyFill="1" applyBorder="1" applyAlignment="1">
      <alignment horizontal="left" vertical="center" wrapText="1"/>
    </xf>
    <xf numFmtId="0" fontId="19" fillId="5" borderId="5" xfId="0" applyFont="1" applyFill="1" applyBorder="1" applyAlignment="1">
      <alignment horizontal="center" vertical="center" wrapText="1"/>
    </xf>
    <xf numFmtId="169" fontId="14" fillId="0" borderId="1" xfId="0" applyNumberFormat="1" applyFont="1" applyBorder="1" applyAlignment="1">
      <alignment horizontal="left"/>
    </xf>
    <xf numFmtId="1" fontId="10" fillId="0" borderId="1" xfId="0" applyNumberFormat="1" applyFont="1" applyBorder="1" applyAlignment="1">
      <alignment horizontal="right"/>
    </xf>
    <xf numFmtId="165" fontId="10" fillId="0" borderId="1" xfId="0" applyNumberFormat="1" applyFont="1" applyBorder="1" applyAlignment="1">
      <alignment horizontal="right"/>
    </xf>
    <xf numFmtId="166" fontId="10" fillId="0" borderId="1" xfId="0" applyNumberFormat="1" applyFont="1" applyBorder="1" applyAlignment="1">
      <alignment horizontal="right"/>
    </xf>
    <xf numFmtId="167" fontId="10" fillId="0" borderId="1" xfId="0" applyNumberFormat="1" applyFont="1" applyBorder="1" applyAlignment="1">
      <alignment horizontal="right"/>
    </xf>
    <xf numFmtId="170" fontId="10" fillId="0" borderId="1" xfId="0" applyNumberFormat="1" applyFont="1" applyBorder="1" applyAlignment="1">
      <alignment horizontal="right"/>
    </xf>
    <xf numFmtId="171" fontId="10" fillId="0" borderId="1" xfId="0" applyNumberFormat="1" applyFont="1" applyBorder="1" applyAlignment="1">
      <alignment horizontal="right"/>
    </xf>
    <xf numFmtId="0" fontId="14" fillId="5" borderId="1" xfId="0" applyFont="1" applyFill="1" applyBorder="1" applyAlignment="1">
      <alignment horizontal="left"/>
    </xf>
    <xf numFmtId="1" fontId="14" fillId="5" borderId="1" xfId="0" applyNumberFormat="1" applyFont="1" applyFill="1" applyBorder="1" applyAlignment="1">
      <alignment horizontal="right"/>
    </xf>
    <xf numFmtId="165" fontId="14" fillId="5" borderId="1" xfId="0" applyNumberFormat="1" applyFont="1" applyFill="1" applyBorder="1" applyAlignment="1">
      <alignment horizontal="right"/>
    </xf>
    <xf numFmtId="166" fontId="14" fillId="5" borderId="1" xfId="0" applyNumberFormat="1" applyFont="1" applyFill="1" applyBorder="1" applyAlignment="1">
      <alignment horizontal="right"/>
    </xf>
    <xf numFmtId="167" fontId="14" fillId="5" borderId="1" xfId="0" applyNumberFormat="1" applyFont="1" applyFill="1" applyBorder="1" applyAlignment="1">
      <alignment horizontal="right"/>
    </xf>
    <xf numFmtId="0" fontId="14" fillId="5" borderId="1" xfId="0" applyFont="1" applyFill="1" applyBorder="1" applyAlignment="1">
      <alignment horizontal="right"/>
    </xf>
    <xf numFmtId="0" fontId="20" fillId="0" borderId="0" xfId="0" applyFont="1"/>
    <xf numFmtId="0" fontId="14" fillId="0" borderId="1" xfId="0" applyFont="1" applyBorder="1"/>
    <xf numFmtId="3" fontId="10" fillId="0" borderId="1" xfId="0" applyNumberFormat="1" applyFont="1" applyBorder="1" applyAlignment="1">
      <alignment horizontal="right"/>
    </xf>
    <xf numFmtId="0" fontId="14" fillId="5" borderId="1" xfId="0" applyFont="1" applyFill="1" applyBorder="1"/>
    <xf numFmtId="171" fontId="14" fillId="5" borderId="1" xfId="0" applyNumberFormat="1" applyFont="1" applyFill="1" applyBorder="1" applyAlignment="1">
      <alignment horizontal="right"/>
    </xf>
    <xf numFmtId="170" fontId="14" fillId="5" borderId="1" xfId="0" applyNumberFormat="1" applyFont="1" applyFill="1" applyBorder="1" applyAlignment="1">
      <alignment horizontal="right"/>
    </xf>
    <xf numFmtId="3" fontId="14" fillId="5" borderId="1" xfId="0" applyNumberFormat="1" applyFont="1" applyFill="1" applyBorder="1" applyAlignment="1">
      <alignment horizontal="right"/>
    </xf>
    <xf numFmtId="0" fontId="19" fillId="0" borderId="0" xfId="0" applyFont="1"/>
    <xf numFmtId="0" fontId="14" fillId="0" borderId="1" xfId="0" applyFont="1" applyBorder="1" applyAlignment="1">
      <alignment horizontal="left"/>
    </xf>
    <xf numFmtId="0" fontId="10" fillId="0" borderId="1" xfId="0" applyFont="1" applyBorder="1" applyAlignment="1">
      <alignment horizontal="right"/>
    </xf>
    <xf numFmtId="172" fontId="10" fillId="0" borderId="1" xfId="0" applyNumberFormat="1" applyFont="1" applyBorder="1" applyAlignment="1">
      <alignment horizontal="right"/>
    </xf>
    <xf numFmtId="0" fontId="21" fillId="0" borderId="0" xfId="0" applyFont="1"/>
    <xf numFmtId="2" fontId="10" fillId="0" borderId="1" xfId="0" applyNumberFormat="1" applyFont="1" applyBorder="1" applyAlignment="1">
      <alignment horizontal="right"/>
    </xf>
    <xf numFmtId="173" fontId="10" fillId="0" borderId="1" xfId="0" applyNumberFormat="1" applyFont="1" applyBorder="1" applyAlignment="1">
      <alignment horizontal="right"/>
    </xf>
    <xf numFmtId="174" fontId="10" fillId="0" borderId="1" xfId="0" applyNumberFormat="1" applyFont="1" applyBorder="1" applyAlignment="1">
      <alignment horizontal="right"/>
    </xf>
    <xf numFmtId="2" fontId="14" fillId="5" borderId="1" xfId="0" applyNumberFormat="1" applyFont="1" applyFill="1" applyBorder="1" applyAlignment="1">
      <alignment horizontal="right"/>
    </xf>
    <xf numFmtId="0" fontId="19" fillId="5" borderId="5" xfId="0" applyFont="1" applyFill="1" applyBorder="1"/>
    <xf numFmtId="3" fontId="22" fillId="0" borderId="1" xfId="0" applyNumberFormat="1" applyFont="1" applyBorder="1" applyAlignment="1">
      <alignment horizontal="right"/>
    </xf>
    <xf numFmtId="176" fontId="10" fillId="0" borderId="1" xfId="0" applyNumberFormat="1" applyFont="1" applyBorder="1" applyAlignment="1">
      <alignment horizontal="right"/>
    </xf>
    <xf numFmtId="176" fontId="14" fillId="0" borderId="1" xfId="0" applyNumberFormat="1" applyFont="1" applyBorder="1" applyAlignment="1">
      <alignment horizontal="right"/>
    </xf>
    <xf numFmtId="165" fontId="14" fillId="0" borderId="1" xfId="0" applyNumberFormat="1" applyFont="1" applyBorder="1" applyAlignment="1">
      <alignment horizontal="right"/>
    </xf>
    <xf numFmtId="177" fontId="10" fillId="0" borderId="1" xfId="0" applyNumberFormat="1" applyFont="1" applyBorder="1" applyAlignment="1">
      <alignment horizontal="right"/>
    </xf>
    <xf numFmtId="177" fontId="14" fillId="0" borderId="1" xfId="0" applyNumberFormat="1" applyFont="1" applyBorder="1" applyAlignment="1">
      <alignment horizontal="right"/>
    </xf>
    <xf numFmtId="3" fontId="4" fillId="4" borderId="1" xfId="0" applyNumberFormat="1" applyFont="1" applyFill="1" applyBorder="1" applyAlignment="1">
      <alignment horizontal="center" vertical="center"/>
    </xf>
    <xf numFmtId="0" fontId="10" fillId="0" borderId="0" xfId="0" applyFont="1"/>
    <xf numFmtId="165" fontId="14" fillId="0" borderId="1" xfId="0" applyNumberFormat="1" applyFont="1" applyBorder="1"/>
    <xf numFmtId="0" fontId="23" fillId="0" borderId="0" xfId="0" applyFont="1"/>
    <xf numFmtId="0" fontId="9" fillId="2" borderId="0" xfId="0" applyFont="1" applyFill="1"/>
    <xf numFmtId="0" fontId="0" fillId="2" borderId="0" xfId="0" applyFill="1"/>
    <xf numFmtId="0" fontId="10" fillId="0" borderId="1" xfId="0" applyFont="1" applyBorder="1" applyAlignment="1">
      <alignment horizontal="left"/>
    </xf>
    <xf numFmtId="169" fontId="10" fillId="0" borderId="1" xfId="0" applyNumberFormat="1" applyFont="1" applyBorder="1" applyAlignment="1">
      <alignment horizontal="left"/>
    </xf>
    <xf numFmtId="49" fontId="10" fillId="0" borderId="1" xfId="0" applyNumberFormat="1" applyFont="1" applyBorder="1" applyAlignment="1">
      <alignment horizontal="right"/>
    </xf>
    <xf numFmtId="49" fontId="22" fillId="0" borderId="1" xfId="0" applyNumberFormat="1" applyFont="1" applyBorder="1" applyAlignment="1">
      <alignment horizontal="left"/>
    </xf>
    <xf numFmtId="165" fontId="22" fillId="0" borderId="1" xfId="0" applyNumberFormat="1" applyFont="1" applyBorder="1" applyAlignment="1">
      <alignment horizontal="right"/>
    </xf>
    <xf numFmtId="49" fontId="10" fillId="0" borderId="1" xfId="0" applyNumberFormat="1" applyFont="1" applyBorder="1" applyAlignment="1">
      <alignment horizontal="left"/>
    </xf>
    <xf numFmtId="1" fontId="22" fillId="0" borderId="1" xfId="0" applyNumberFormat="1" applyFont="1" applyBorder="1" applyAlignment="1">
      <alignment horizontal="right"/>
    </xf>
    <xf numFmtId="0" fontId="10" fillId="0" borderId="1" xfId="0" applyFont="1" applyBorder="1"/>
    <xf numFmtId="0" fontId="22" fillId="0" borderId="0" xfId="0" applyFont="1"/>
    <xf numFmtId="0" fontId="14" fillId="0" borderId="0" xfId="0" applyFont="1"/>
    <xf numFmtId="176" fontId="10" fillId="0" borderId="1" xfId="0" applyNumberFormat="1" applyFont="1" applyBorder="1"/>
    <xf numFmtId="176" fontId="14" fillId="0" borderId="1" xfId="0" applyNumberFormat="1" applyFont="1" applyBorder="1"/>
    <xf numFmtId="165" fontId="10" fillId="0" borderId="1" xfId="0" applyNumberFormat="1" applyFont="1" applyBorder="1"/>
    <xf numFmtId="177" fontId="10" fillId="0" borderId="1" xfId="0" applyNumberFormat="1" applyFont="1" applyBorder="1"/>
    <xf numFmtId="177" fontId="14" fillId="0" borderId="1" xfId="0" applyNumberFormat="1" applyFont="1" applyBorder="1"/>
    <xf numFmtId="3" fontId="24" fillId="4" borderId="1" xfId="0" applyNumberFormat="1" applyFont="1" applyFill="1" applyBorder="1"/>
    <xf numFmtId="3" fontId="22" fillId="0" borderId="1" xfId="0" applyNumberFormat="1" applyFont="1" applyBorder="1"/>
    <xf numFmtId="167" fontId="10" fillId="0" borderId="1" xfId="0" applyNumberFormat="1" applyFont="1" applyBorder="1"/>
    <xf numFmtId="171" fontId="10" fillId="0" borderId="1" xfId="0" applyNumberFormat="1" applyFont="1" applyBorder="1"/>
    <xf numFmtId="1" fontId="10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 wrapText="1"/>
    </xf>
    <xf numFmtId="1" fontId="10" fillId="0" borderId="1" xfId="0" applyNumberFormat="1" applyFont="1" applyBorder="1" applyAlignment="1">
      <alignment horizontal="center" vertical="top" wrapText="1"/>
    </xf>
    <xf numFmtId="49" fontId="10" fillId="0" borderId="1" xfId="0" applyNumberFormat="1" applyFont="1" applyBorder="1"/>
    <xf numFmtId="0" fontId="10" fillId="0" borderId="1" xfId="0" applyFont="1" applyBorder="1" applyAlignment="1">
      <alignment horizontal="center"/>
    </xf>
    <xf numFmtId="0" fontId="25" fillId="0" borderId="0" xfId="0" applyFont="1"/>
    <xf numFmtId="0" fontId="26" fillId="0" borderId="1" xfId="0" applyFont="1" applyBorder="1"/>
    <xf numFmtId="0" fontId="26" fillId="0" borderId="1" xfId="0" applyFont="1" applyBorder="1" applyAlignment="1">
      <alignment horizontal="center"/>
    </xf>
    <xf numFmtId="0" fontId="17" fillId="2" borderId="0" xfId="0" applyFont="1" applyFill="1" applyAlignment="1">
      <alignment horizontal="center" vertical="center" wrapText="1"/>
    </xf>
    <xf numFmtId="0" fontId="17" fillId="3" borderId="0" xfId="0" applyFont="1" applyFill="1" applyAlignment="1">
      <alignment horizontal="center" vertical="center" wrapText="1"/>
    </xf>
    <xf numFmtId="0" fontId="17" fillId="11" borderId="0" xfId="0" applyFont="1" applyFill="1" applyAlignment="1">
      <alignment horizontal="center" vertical="center" wrapText="1"/>
    </xf>
    <xf numFmtId="178" fontId="10" fillId="0" borderId="0" xfId="0" applyNumberFormat="1" applyFont="1"/>
    <xf numFmtId="179" fontId="10" fillId="0" borderId="0" xfId="0" applyNumberFormat="1" applyFont="1"/>
    <xf numFmtId="1" fontId="10" fillId="0" borderId="0" xfId="0" applyNumberFormat="1" applyFont="1"/>
    <xf numFmtId="180" fontId="10" fillId="0" borderId="0" xfId="0" applyNumberFormat="1" applyFont="1"/>
    <xf numFmtId="2" fontId="10" fillId="0" borderId="0" xfId="0" applyNumberFormat="1" applyFont="1"/>
    <xf numFmtId="169" fontId="10" fillId="0" borderId="0" xfId="0" applyNumberFormat="1" applyFont="1"/>
    <xf numFmtId="165" fontId="10" fillId="0" borderId="0" xfId="0" applyNumberFormat="1" applyFont="1"/>
    <xf numFmtId="167" fontId="10" fillId="0" borderId="0" xfId="0" applyNumberFormat="1" applyFont="1"/>
    <xf numFmtId="0" fontId="17" fillId="11" borderId="0" xfId="0" applyFont="1" applyFill="1"/>
    <xf numFmtId="0" fontId="10" fillId="6" borderId="0" xfId="0" applyFont="1" applyFill="1" applyAlignment="1">
      <alignment horizontal="left" vertical="center" wrapText="1" indent="1"/>
    </xf>
    <xf numFmtId="0" fontId="11" fillId="7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5" fillId="0" borderId="0" xfId="0" applyFont="1" applyAlignment="1">
      <alignment vertical="top" wrapText="1"/>
    </xf>
    <xf numFmtId="0" fontId="11" fillId="8" borderId="3" xfId="0" applyFont="1" applyFill="1" applyBorder="1" applyAlignment="1">
      <alignment horizontal="center" vertical="center"/>
    </xf>
    <xf numFmtId="0" fontId="15" fillId="2" borderId="0" xfId="0" applyFont="1" applyFill="1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1" fontId="16" fillId="5" borderId="2" xfId="0" applyNumberFormat="1" applyFont="1" applyFill="1" applyBorder="1" applyAlignment="1">
      <alignment horizontal="left" vertical="center" indent="1"/>
    </xf>
    <xf numFmtId="169" fontId="16" fillId="5" borderId="2" xfId="0" applyNumberFormat="1" applyFont="1" applyFill="1" applyBorder="1" applyAlignment="1">
      <alignment horizontal="left" vertical="center" indent="1"/>
    </xf>
    <xf numFmtId="166" fontId="16" fillId="5" borderId="2" xfId="0" applyNumberFormat="1" applyFont="1" applyFill="1" applyBorder="1" applyAlignment="1">
      <alignment horizontal="left" vertical="center" indent="1"/>
    </xf>
    <xf numFmtId="0" fontId="17" fillId="2" borderId="0" xfId="0" applyFont="1" applyFill="1" applyAlignment="1">
      <alignment horizontal="left" vertical="center" indent="1"/>
    </xf>
    <xf numFmtId="0" fontId="18" fillId="5" borderId="4" xfId="0" applyFont="1" applyFill="1" applyBorder="1" applyAlignment="1">
      <alignment horizontal="left" vertical="center" wrapText="1" indent="1"/>
    </xf>
    <xf numFmtId="0" fontId="18" fillId="6" borderId="4" xfId="0" applyFont="1" applyFill="1" applyBorder="1" applyAlignment="1">
      <alignment horizontal="left" vertical="center" wrapText="1" indent="1"/>
    </xf>
    <xf numFmtId="0" fontId="16" fillId="5" borderId="2" xfId="0" applyFont="1" applyFill="1" applyBorder="1" applyAlignment="1">
      <alignment horizontal="left" vertical="center" indent="1"/>
    </xf>
    <xf numFmtId="9" fontId="16" fillId="5" borderId="2" xfId="0" applyNumberFormat="1" applyFont="1" applyFill="1" applyBorder="1" applyAlignment="1">
      <alignment horizontal="left" vertical="center" indent="1"/>
    </xf>
    <xf numFmtId="165" fontId="16" fillId="5" borderId="2" xfId="0" applyNumberFormat="1" applyFont="1" applyFill="1" applyBorder="1" applyAlignment="1">
      <alignment horizontal="left" vertical="center" indent="1"/>
    </xf>
    <xf numFmtId="0" fontId="17" fillId="10" borderId="0" xfId="0" applyFont="1" applyFill="1" applyAlignment="1">
      <alignment horizontal="left" vertical="center" indent="1"/>
    </xf>
    <xf numFmtId="167" fontId="16" fillId="5" borderId="2" xfId="0" applyNumberFormat="1" applyFont="1" applyFill="1" applyBorder="1" applyAlignment="1">
      <alignment horizontal="left" vertical="center" indent="1"/>
    </xf>
    <xf numFmtId="175" fontId="16" fillId="5" borderId="2" xfId="0" applyNumberFormat="1" applyFont="1" applyFill="1" applyBorder="1" applyAlignment="1">
      <alignment horizontal="left" vertical="center" indent="1"/>
    </xf>
    <xf numFmtId="0" fontId="19" fillId="5" borderId="5" xfId="0" applyFont="1" applyFill="1" applyBorder="1" applyAlignment="1">
      <alignment horizontal="left" vertical="center" wrapText="1"/>
    </xf>
    <xf numFmtId="0" fontId="14" fillId="0" borderId="1" xfId="0" applyFont="1" applyBorder="1" applyAlignment="1">
      <alignment horizontal="left"/>
    </xf>
    <xf numFmtId="2" fontId="16" fillId="5" borderId="2" xfId="0" applyNumberFormat="1" applyFont="1" applyFill="1" applyBorder="1" applyAlignment="1">
      <alignment horizontal="left" vertical="center" indent="1"/>
    </xf>
    <xf numFmtId="3" fontId="16" fillId="5" borderId="2" xfId="0" applyNumberFormat="1" applyFont="1" applyFill="1" applyBorder="1" applyAlignment="1">
      <alignment horizontal="left" vertical="center" indent="1"/>
    </xf>
    <xf numFmtId="0" fontId="10" fillId="0" borderId="0" xfId="0" applyFont="1" applyAlignment="1">
      <alignment vertical="top" wrapText="1"/>
    </xf>
    <xf numFmtId="0" fontId="27" fillId="0" borderId="0" xfId="0" applyFont="1" applyAlignment="1">
      <alignment horizontal="left" vertical="center" wrapText="1"/>
    </xf>
    <xf numFmtId="0" fontId="28" fillId="12" borderId="0" xfId="0" applyFont="1" applyFill="1"/>
  </cellXfs>
  <cellStyles count="1">
    <cellStyle name="Normal" xfId="0" builtinId="0"/>
  </cellStyles>
  <dxfs count="6">
    <dxf>
      <font>
        <b/>
        <color rgb="FFC0392B"/>
        <name val="Arial"/>
        <charset val="1"/>
      </font>
    </dxf>
    <dxf>
      <font>
        <b/>
        <color rgb="FF1B7F3B"/>
        <name val="Arial"/>
        <charset val="1"/>
      </font>
    </dxf>
    <dxf>
      <font>
        <b/>
        <color rgb="FFC0392B"/>
        <name val="Arial"/>
        <charset val="1"/>
      </font>
    </dxf>
    <dxf>
      <font>
        <b/>
        <color rgb="FF1B7F3B"/>
        <name val="Arial"/>
        <charset val="1"/>
      </font>
    </dxf>
    <dxf>
      <font>
        <b/>
        <color rgb="FFC0392B"/>
        <name val="Arial"/>
        <charset val="1"/>
      </font>
    </dxf>
    <dxf>
      <font>
        <b/>
        <color rgb="FF1B7F3B"/>
        <name val="Arial"/>
        <charset val="1"/>
      </font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B7F3B"/>
      <rgbColor rgb="FF000080"/>
      <rgbColor rgb="FF808000"/>
      <rgbColor rgb="FF800080"/>
      <rgbColor rgb="FF008080"/>
      <rgbColor rgb="FFBFC7D5"/>
      <rgbColor rgb="FF878787"/>
      <rgbColor rgb="FF9999FF"/>
      <rgbColor rgb="FF993366"/>
      <rgbColor rgb="FFEEF2F7"/>
      <rgbColor rgb="FFD5ECE9"/>
      <rgbColor rgb="FF660066"/>
      <rgbColor rgb="FFE76F51"/>
      <rgbColor rgb="FF0066CC"/>
      <rgbColor rgb="FFD9DEE7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9F7"/>
      <rgbColor rgb="FFE8ECF2"/>
      <rgbColor rgb="FFFFFF99"/>
      <rgbColor rgb="FF9CC9C3"/>
      <rgbColor rgb="FFFF99CC"/>
      <rgbColor rgb="FFCC99FF"/>
      <rgbColor rgb="FFE5E7EB"/>
      <rgbColor rgb="FF4F81BD"/>
      <rgbColor rgb="FF33CCCC"/>
      <rgbColor rgb="FF99CC00"/>
      <rgbColor rgb="FFFFCC00"/>
      <rgbColor rgb="FFE9A23B"/>
      <rgbColor rgb="FFFF6600"/>
      <rgbColor rgb="FF5B6675"/>
      <rgbColor rgb="FF8D99AE"/>
      <rgbColor rgb="FF1F3A5F"/>
      <rgbColor rgb="FF2A9D8F"/>
      <rgbColor rgb="FF003300"/>
      <rgbColor rgb="FF333300"/>
      <rgbColor rgb="FFC0392B"/>
      <rgbColor rgb="FF993366"/>
      <rgbColor rgb="FF44546A"/>
      <rgbColor rgb="FF22303F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Monthly Sales Volume (bars) vs. Average &amp; 3-Month Rolling Price (lines)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Homes sold</c:v>
          </c:tx>
          <c:spPr>
            <a:solidFill>
              <a:srgbClr val="9CC9C3"/>
            </a:solidFill>
            <a:ln w="0">
              <a:solidFill>
                <a:srgbClr val="9CC9C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Pivots!$B$42:$B$61</c:f>
              <c:numCache>
                <c:formatCode>0</c:formatCode>
                <c:ptCount val="20"/>
                <c:pt idx="0">
                  <c:v>17</c:v>
                </c:pt>
                <c:pt idx="1">
                  <c:v>12</c:v>
                </c:pt>
                <c:pt idx="2">
                  <c:v>19</c:v>
                </c:pt>
                <c:pt idx="3">
                  <c:v>13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11</c:v>
                </c:pt>
                <c:pt idx="11">
                  <c:v>7</c:v>
                </c:pt>
                <c:pt idx="12">
                  <c:v>18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21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E4-4558-A441-F0B31FC14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18765337"/>
        <c:axId val="99019398"/>
      </c:barChart>
      <c:lineChart>
        <c:grouping val="standard"/>
        <c:varyColors val="0"/>
        <c:ser>
          <c:idx val="1"/>
          <c:order val="1"/>
          <c:tx>
            <c:v>Avg sale price</c:v>
          </c:tx>
          <c:spPr>
            <a:ln w="22320">
              <a:solidFill>
                <a:srgbClr val="1F3A5F"/>
              </a:solidFill>
              <a:round/>
            </a:ln>
          </c:spPr>
          <c:marker>
            <c:symbol val="circle"/>
            <c:size val="5"/>
            <c:spPr>
              <a:solidFill>
                <a:srgbClr val="1F3A5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Pivots!$D$42:$D$61</c:f>
              <c:numCache>
                <c:formatCode>\$#,##0</c:formatCode>
                <c:ptCount val="20"/>
                <c:pt idx="0">
                  <c:v>379764.70588235295</c:v>
                </c:pt>
                <c:pt idx="1">
                  <c:v>363416.66666666669</c:v>
                </c:pt>
                <c:pt idx="2">
                  <c:v>518368.42105263157</c:v>
                </c:pt>
                <c:pt idx="3">
                  <c:v>442769.23076923075</c:v>
                </c:pt>
                <c:pt idx="4">
                  <c:v>425900</c:v>
                </c:pt>
                <c:pt idx="5">
                  <c:v>412000</c:v>
                </c:pt>
                <c:pt idx="6">
                  <c:v>333933.33333333331</c:v>
                </c:pt>
                <c:pt idx="7">
                  <c:v>400153.84615384613</c:v>
                </c:pt>
                <c:pt idx="8">
                  <c:v>355666.66666666669</c:v>
                </c:pt>
                <c:pt idx="9">
                  <c:v>401692.30769230769</c:v>
                </c:pt>
                <c:pt idx="10">
                  <c:v>383727.27272727271</c:v>
                </c:pt>
                <c:pt idx="11">
                  <c:v>357714.28571428574</c:v>
                </c:pt>
                <c:pt idx="12">
                  <c:v>414888.88888888888</c:v>
                </c:pt>
                <c:pt idx="13">
                  <c:v>423777.77777777775</c:v>
                </c:pt>
                <c:pt idx="14">
                  <c:v>377900</c:v>
                </c:pt>
                <c:pt idx="15">
                  <c:v>307444.44444444444</c:v>
                </c:pt>
                <c:pt idx="16">
                  <c:v>367000</c:v>
                </c:pt>
                <c:pt idx="17">
                  <c:v>355222.22222222225</c:v>
                </c:pt>
                <c:pt idx="18">
                  <c:v>330714.28571428574</c:v>
                </c:pt>
                <c:pt idx="19">
                  <c:v>423800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EE4-4558-A441-F0B31FC14F0D}"/>
            </c:ext>
          </c:extLst>
        </c:ser>
        <c:ser>
          <c:idx val="2"/>
          <c:order val="2"/>
          <c:tx>
            <c:v>3-mo rolling avg</c:v>
          </c:tx>
          <c:spPr>
            <a:ln w="34920">
              <a:solidFill>
                <a:srgbClr val="E9A23B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Pivots!$H$42:$H$61</c:f>
              <c:numCache>
                <c:formatCode>\$#,##0</c:formatCode>
                <c:ptCount val="20"/>
                <c:pt idx="0">
                  <c:v>379764.70588235295</c:v>
                </c:pt>
                <c:pt idx="1">
                  <c:v>373000</c:v>
                </c:pt>
                <c:pt idx="2">
                  <c:v>430541.66666666669</c:v>
                </c:pt>
                <c:pt idx="3">
                  <c:v>453772.72727272729</c:v>
                </c:pt>
                <c:pt idx="4">
                  <c:v>472952.38095238095</c:v>
                </c:pt>
                <c:pt idx="5">
                  <c:v>427852.9411764706</c:v>
                </c:pt>
                <c:pt idx="6">
                  <c:v>383333.33333333331</c:v>
                </c:pt>
                <c:pt idx="7">
                  <c:v>378025.641025641</c:v>
                </c:pt>
                <c:pt idx="8">
                  <c:v>361975</c:v>
                </c:pt>
                <c:pt idx="9">
                  <c:v>386631.57894736843</c:v>
                </c:pt>
                <c:pt idx="10">
                  <c:v>380861.11111111112</c:v>
                </c:pt>
                <c:pt idx="11">
                  <c:v>385387.09677419357</c:v>
                </c:pt>
                <c:pt idx="12">
                  <c:v>394250</c:v>
                </c:pt>
                <c:pt idx="13">
                  <c:v>405470.5882352941</c:v>
                </c:pt>
                <c:pt idx="14">
                  <c:v>407054.05405405408</c:v>
                </c:pt>
                <c:pt idx="15">
                  <c:v>370000</c:v>
                </c:pt>
                <c:pt idx="16">
                  <c:v>354800</c:v>
                </c:pt>
                <c:pt idx="17">
                  <c:v>348117.64705882355</c:v>
                </c:pt>
                <c:pt idx="18">
                  <c:v>348130.4347826087</c:v>
                </c:pt>
                <c:pt idx="19">
                  <c:v>350314.28571428574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EE4-4558-A441-F0B31FC14F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1450830"/>
        <c:axId val="26894139"/>
      </c:lineChart>
      <c:catAx>
        <c:axId val="1876533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99019398"/>
        <c:crosses val="autoZero"/>
        <c:auto val="1"/>
        <c:lblAlgn val="ctr"/>
        <c:lblOffset val="100"/>
        <c:noMultiLvlLbl val="0"/>
      </c:catAx>
      <c:valAx>
        <c:axId val="99019398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18765337"/>
        <c:crosses val="autoZero"/>
        <c:crossBetween val="between"/>
      </c:valAx>
      <c:catAx>
        <c:axId val="814508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6894139"/>
        <c:crosses val="autoZero"/>
        <c:auto val="1"/>
        <c:lblAlgn val="ctr"/>
        <c:lblOffset val="100"/>
        <c:noMultiLvlLbl val="0"/>
      </c:catAx>
      <c:valAx>
        <c:axId val="26894139"/>
        <c:scaling>
          <c:orientation val="minMax"/>
          <c:min val="200000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1450830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Average vs. Median Sale Price by Neighborhood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Pivots!$E$6:$E$10</c:f>
              <c:numCache>
                <c:formatCode>\$#,##0</c:formatCode>
                <c:ptCount val="5"/>
                <c:pt idx="0">
                  <c:v>285641.02564102563</c:v>
                </c:pt>
                <c:pt idx="1">
                  <c:v>429972.22222222225</c:v>
                </c:pt>
                <c:pt idx="2">
                  <c:v>336588.23529411765</c:v>
                </c:pt>
                <c:pt idx="3">
                  <c:v>492620.68965517241</c:v>
                </c:pt>
                <c:pt idx="4">
                  <c:v>383145.16129032261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F7A-4978-BB06-98537A2E8971}"/>
            </c:ext>
          </c:extLst>
        </c:ser>
        <c:ser>
          <c:idx val="1"/>
          <c:order val="1"/>
          <c:tx>
            <c:v>Median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Pivots!$F$6:$F$10</c:f>
              <c:numCache>
                <c:formatCode>\$#,##0</c:formatCode>
                <c:ptCount val="5"/>
                <c:pt idx="0">
                  <c:v>306000</c:v>
                </c:pt>
                <c:pt idx="1">
                  <c:v>407000</c:v>
                </c:pt>
                <c:pt idx="2">
                  <c:v>339000</c:v>
                </c:pt>
                <c:pt idx="3">
                  <c:v>450500</c:v>
                </c:pt>
                <c:pt idx="4">
                  <c:v>381500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7A-4978-BB06-98537A2E89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28766115"/>
        <c:axId val="21128799"/>
      </c:barChart>
      <c:catAx>
        <c:axId val="287661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1128799"/>
        <c:crosses val="autoZero"/>
        <c:auto val="1"/>
        <c:lblAlgn val="ctr"/>
        <c:lblOffset val="100"/>
        <c:noMultiLvlLbl val="0"/>
      </c:catAx>
      <c:valAx>
        <c:axId val="2112879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8766115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Days on Market (bars) vs. Sale-to-List %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days on market</c:v>
          </c:tx>
          <c:spPr>
            <a:solidFill>
              <a:srgbClr val="9CC9C3"/>
            </a:solidFill>
            <a:ln w="0">
              <a:solidFill>
                <a:srgbClr val="9CC9C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Pivots!$H$6:$H$10</c:f>
              <c:numCache>
                <c:formatCode>0.0</c:formatCode>
                <c:ptCount val="5"/>
                <c:pt idx="0">
                  <c:v>67.578947368421055</c:v>
                </c:pt>
                <c:pt idx="1">
                  <c:v>52.777777777777779</c:v>
                </c:pt>
                <c:pt idx="2">
                  <c:v>54.170212765957444</c:v>
                </c:pt>
                <c:pt idx="3">
                  <c:v>58.142857142857146</c:v>
                </c:pt>
                <c:pt idx="4">
                  <c:v>54.770491803278688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62E-4596-9CF5-D610B009E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1627828"/>
        <c:axId val="81720356"/>
      </c:barChart>
      <c:lineChart>
        <c:grouping val="standard"/>
        <c:varyColors val="0"/>
        <c:ser>
          <c:idx val="1"/>
          <c:order val="1"/>
          <c:tx>
            <c:v>Avg sale-to-list %</c:v>
          </c:tx>
          <c:spPr>
            <a:ln w="28440">
              <a:solidFill>
                <a:srgbClr val="E76F51"/>
              </a:solidFill>
              <a:round/>
            </a:ln>
          </c:spPr>
          <c:marker>
            <c:symbol val="diamond"/>
            <c:size val="8"/>
            <c:spPr>
              <a:solidFill>
                <a:srgbClr val="E76F5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1" strike="noStrike" spc="-1">
                    <a:solidFill>
                      <a:srgbClr val="E76F51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Pivots!$I$6:$I$10</c:f>
              <c:numCache>
                <c:formatCode>0.0%</c:formatCode>
                <c:ptCount val="5"/>
                <c:pt idx="0">
                  <c:v>0.97450340946562075</c:v>
                </c:pt>
                <c:pt idx="1">
                  <c:v>0.97717766473621637</c:v>
                </c:pt>
                <c:pt idx="2">
                  <c:v>0.97104751458188432</c:v>
                </c:pt>
                <c:pt idx="3">
                  <c:v>0.97342953711263269</c:v>
                </c:pt>
                <c:pt idx="4">
                  <c:v>0.9769099765186402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2E-4596-9CF5-D610B009EF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89593885"/>
        <c:axId val="23686068"/>
      </c:lineChart>
      <c:catAx>
        <c:axId val="16278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1720356"/>
        <c:crosses val="autoZero"/>
        <c:auto val="1"/>
        <c:lblAlgn val="ctr"/>
        <c:lblOffset val="100"/>
        <c:noMultiLvlLbl val="0"/>
      </c:catAx>
      <c:valAx>
        <c:axId val="81720356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1627828"/>
        <c:crosses val="autoZero"/>
        <c:crossBetween val="between"/>
      </c:valAx>
      <c:catAx>
        <c:axId val="8959388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3686068"/>
        <c:crosses val="autoZero"/>
        <c:auto val="1"/>
        <c:lblAlgn val="ctr"/>
        <c:lblOffset val="100"/>
        <c:noMultiLvlLbl val="0"/>
      </c:catAx>
      <c:valAx>
        <c:axId val="23686068"/>
        <c:scaling>
          <c:orientation val="minMax"/>
          <c:max val="1"/>
          <c:min val="0.95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959388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Share of Sales by Property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A9D8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ECB3-4A2F-A5A6-EA493D183272}"/>
              </c:ext>
            </c:extLst>
          </c:dPt>
          <c:dPt>
            <c:idx val="1"/>
            <c:bubble3D val="0"/>
            <c:spPr>
              <a:solidFill>
                <a:srgbClr val="1F3A5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ECB3-4A2F-A5A6-EA493D183272}"/>
              </c:ext>
            </c:extLst>
          </c:dPt>
          <c:dPt>
            <c:idx val="2"/>
            <c:bubble3D val="0"/>
            <c:spPr>
              <a:solidFill>
                <a:srgbClr val="E9A23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ECB3-4A2F-A5A6-EA493D183272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ECB3-4A2F-A5A6-EA493D183272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ECB3-4A2F-A5A6-EA493D183272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ECB3-4A2F-A5A6-EA493D1832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Pivots!$A$16:$A$18</c:f>
              <c:strCache>
                <c:ptCount val="3"/>
                <c:pt idx="0">
                  <c:v>Condo</c:v>
                </c:pt>
                <c:pt idx="1">
                  <c:v>Single Family</c:v>
                </c:pt>
                <c:pt idx="2">
                  <c:v>Townhouse</c:v>
                </c:pt>
              </c:strCache>
            </c:strRef>
          </c:cat>
          <c:val>
            <c:numRef>
              <c:f>Pivots!$B$16:$B$18</c:f>
              <c:numCache>
                <c:formatCode>0</c:formatCode>
                <c:ptCount val="3"/>
                <c:pt idx="0">
                  <c:v>57</c:v>
                </c:pt>
                <c:pt idx="1">
                  <c:v>146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CB3-4A2F-A5A6-EA493D1832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Sale Price Distribution (number of homes per price band)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Homes sold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Pivots!$A$66:$A$72</c:f>
              <c:strCache>
                <c:ptCount val="7"/>
                <c:pt idx="0">
                  <c:v>Under $200K</c:v>
                </c:pt>
                <c:pt idx="1">
                  <c:v>$200-300K</c:v>
                </c:pt>
                <c:pt idx="2">
                  <c:v>$300-400K</c:v>
                </c:pt>
                <c:pt idx="3">
                  <c:v>$400-500K</c:v>
                </c:pt>
                <c:pt idx="4">
                  <c:v>$500-600K</c:v>
                </c:pt>
                <c:pt idx="5">
                  <c:v>$600-800K</c:v>
                </c:pt>
                <c:pt idx="6">
                  <c:v>$800K+</c:v>
                </c:pt>
              </c:strCache>
            </c:strRef>
          </c:cat>
          <c:val>
            <c:numRef>
              <c:f>Pivots!$C$66:$C$72</c:f>
              <c:numCache>
                <c:formatCode>0</c:formatCode>
                <c:ptCount val="7"/>
                <c:pt idx="0">
                  <c:v>17</c:v>
                </c:pt>
                <c:pt idx="1">
                  <c:v>47</c:v>
                </c:pt>
                <c:pt idx="2">
                  <c:v>89</c:v>
                </c:pt>
                <c:pt idx="3">
                  <c:v>57</c:v>
                </c:pt>
                <c:pt idx="4">
                  <c:v>25</c:v>
                </c:pt>
                <c:pt idx="5">
                  <c:v>13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BC-4F8F-B6BD-6CF5F1581E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27540627"/>
        <c:axId val="54370209"/>
      </c:barChart>
      <c:catAx>
        <c:axId val="275406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54370209"/>
        <c:crosses val="autoZero"/>
        <c:auto val="1"/>
        <c:lblAlgn val="ctr"/>
        <c:lblOffset val="100"/>
        <c:noMultiLvlLbl val="0"/>
      </c:catAx>
      <c:valAx>
        <c:axId val="5437020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754062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Living Area vs. Sale Price (dashed = trend excl. outliers)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2A9D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Data_Clean!$G$2:$G$251</c:f>
              <c:numCache>
                <c:formatCode>#,##0;\(#,##0\);\-</c:formatCode>
                <c:ptCount val="250"/>
                <c:pt idx="0">
                  <c:v>1500</c:v>
                </c:pt>
                <c:pt idx="1">
                  <c:v>2370</c:v>
                </c:pt>
                <c:pt idx="2">
                  <c:v>1510</c:v>
                </c:pt>
                <c:pt idx="3">
                  <c:v>1880</c:v>
                </c:pt>
                <c:pt idx="4">
                  <c:v>1110</c:v>
                </c:pt>
                <c:pt idx="5">
                  <c:v>1510</c:v>
                </c:pt>
                <c:pt idx="6">
                  <c:v>780</c:v>
                </c:pt>
                <c:pt idx="7">
                  <c:v>1910</c:v>
                </c:pt>
                <c:pt idx="8">
                  <c:v>2360</c:v>
                </c:pt>
                <c:pt idx="9">
                  <c:v>1890</c:v>
                </c:pt>
                <c:pt idx="10">
                  <c:v>2220</c:v>
                </c:pt>
                <c:pt idx="11">
                  <c:v>2120</c:v>
                </c:pt>
                <c:pt idx="12">
                  <c:v>2260</c:v>
                </c:pt>
                <c:pt idx="13">
                  <c:v>1350</c:v>
                </c:pt>
                <c:pt idx="14">
                  <c:v>2010</c:v>
                </c:pt>
                <c:pt idx="15">
                  <c:v>1670</c:v>
                </c:pt>
                <c:pt idx="16">
                  <c:v>2050</c:v>
                </c:pt>
                <c:pt idx="17">
                  <c:v>2150</c:v>
                </c:pt>
                <c:pt idx="18">
                  <c:v>1470</c:v>
                </c:pt>
                <c:pt idx="19">
                  <c:v>1500</c:v>
                </c:pt>
                <c:pt idx="20">
                  <c:v>2050</c:v>
                </c:pt>
                <c:pt idx="21">
                  <c:v>1320</c:v>
                </c:pt>
                <c:pt idx="22">
                  <c:v>1720</c:v>
                </c:pt>
                <c:pt idx="23">
                  <c:v>1520</c:v>
                </c:pt>
                <c:pt idx="24">
                  <c:v>1940</c:v>
                </c:pt>
                <c:pt idx="25">
                  <c:v>1950</c:v>
                </c:pt>
                <c:pt idx="26">
                  <c:v>2260</c:v>
                </c:pt>
                <c:pt idx="27">
                  <c:v>940</c:v>
                </c:pt>
                <c:pt idx="28">
                  <c:v>2660</c:v>
                </c:pt>
                <c:pt idx="29">
                  <c:v>690</c:v>
                </c:pt>
                <c:pt idx="30">
                  <c:v>1200</c:v>
                </c:pt>
                <c:pt idx="31">
                  <c:v>1590</c:v>
                </c:pt>
                <c:pt idx="32">
                  <c:v>1550</c:v>
                </c:pt>
                <c:pt idx="33">
                  <c:v>1620</c:v>
                </c:pt>
                <c:pt idx="34">
                  <c:v>2580</c:v>
                </c:pt>
                <c:pt idx="35">
                  <c:v>1890</c:v>
                </c:pt>
                <c:pt idx="36">
                  <c:v>1070</c:v>
                </c:pt>
                <c:pt idx="37">
                  <c:v>6400</c:v>
                </c:pt>
                <c:pt idx="38">
                  <c:v>1640</c:v>
                </c:pt>
                <c:pt idx="39">
                  <c:v>2520</c:v>
                </c:pt>
                <c:pt idx="40">
                  <c:v>1880</c:v>
                </c:pt>
                <c:pt idx="41">
                  <c:v>1960</c:v>
                </c:pt>
                <c:pt idx="42">
                  <c:v>1960</c:v>
                </c:pt>
                <c:pt idx="43">
                  <c:v>1400</c:v>
                </c:pt>
                <c:pt idx="44">
                  <c:v>2230</c:v>
                </c:pt>
                <c:pt idx="45">
                  <c:v>940</c:v>
                </c:pt>
                <c:pt idx="46">
                  <c:v>2350</c:v>
                </c:pt>
                <c:pt idx="47">
                  <c:v>1860</c:v>
                </c:pt>
                <c:pt idx="48">
                  <c:v>2270</c:v>
                </c:pt>
                <c:pt idx="49">
                  <c:v>1240</c:v>
                </c:pt>
                <c:pt idx="50">
                  <c:v>2300</c:v>
                </c:pt>
                <c:pt idx="51">
                  <c:v>1240</c:v>
                </c:pt>
                <c:pt idx="52">
                  <c:v>1400</c:v>
                </c:pt>
                <c:pt idx="53">
                  <c:v>1600</c:v>
                </c:pt>
                <c:pt idx="54">
                  <c:v>1210</c:v>
                </c:pt>
                <c:pt idx="55">
                  <c:v>1820</c:v>
                </c:pt>
                <c:pt idx="56">
                  <c:v>2110</c:v>
                </c:pt>
                <c:pt idx="57">
                  <c:v>1940</c:v>
                </c:pt>
                <c:pt idx="58">
                  <c:v>1870</c:v>
                </c:pt>
                <c:pt idx="59">
                  <c:v>1040</c:v>
                </c:pt>
                <c:pt idx="60">
                  <c:v>1380</c:v>
                </c:pt>
                <c:pt idx="61">
                  <c:v>920</c:v>
                </c:pt>
                <c:pt idx="62">
                  <c:v>2150</c:v>
                </c:pt>
                <c:pt idx="63">
                  <c:v>2330</c:v>
                </c:pt>
                <c:pt idx="64">
                  <c:v>2480</c:v>
                </c:pt>
                <c:pt idx="65">
                  <c:v>2060</c:v>
                </c:pt>
                <c:pt idx="66">
                  <c:v>1440</c:v>
                </c:pt>
                <c:pt idx="67">
                  <c:v>2360</c:v>
                </c:pt>
                <c:pt idx="68">
                  <c:v>1480</c:v>
                </c:pt>
                <c:pt idx="69">
                  <c:v>1950</c:v>
                </c:pt>
                <c:pt idx="70">
                  <c:v>1600</c:v>
                </c:pt>
                <c:pt idx="71">
                  <c:v>1280</c:v>
                </c:pt>
                <c:pt idx="72">
                  <c:v>1790</c:v>
                </c:pt>
                <c:pt idx="73">
                  <c:v>1750</c:v>
                </c:pt>
                <c:pt idx="74">
                  <c:v>760</c:v>
                </c:pt>
                <c:pt idx="75">
                  <c:v>1790</c:v>
                </c:pt>
                <c:pt idx="76">
                  <c:v>1810</c:v>
                </c:pt>
                <c:pt idx="77">
                  <c:v>1890</c:v>
                </c:pt>
                <c:pt idx="78">
                  <c:v>1650</c:v>
                </c:pt>
                <c:pt idx="79">
                  <c:v>2290</c:v>
                </c:pt>
                <c:pt idx="80">
                  <c:v>2540</c:v>
                </c:pt>
                <c:pt idx="81">
                  <c:v>1330</c:v>
                </c:pt>
                <c:pt idx="82">
                  <c:v>1920</c:v>
                </c:pt>
                <c:pt idx="83">
                  <c:v>1650</c:v>
                </c:pt>
                <c:pt idx="84">
                  <c:v>1790</c:v>
                </c:pt>
                <c:pt idx="85">
                  <c:v>1750</c:v>
                </c:pt>
                <c:pt idx="86">
                  <c:v>520</c:v>
                </c:pt>
                <c:pt idx="87">
                  <c:v>1310</c:v>
                </c:pt>
                <c:pt idx="88">
                  <c:v>2010</c:v>
                </c:pt>
                <c:pt idx="89">
                  <c:v>1740</c:v>
                </c:pt>
                <c:pt idx="90">
                  <c:v>1750</c:v>
                </c:pt>
                <c:pt idx="91">
                  <c:v>1740</c:v>
                </c:pt>
                <c:pt idx="92">
                  <c:v>1280</c:v>
                </c:pt>
                <c:pt idx="93">
                  <c:v>1230</c:v>
                </c:pt>
                <c:pt idx="94">
                  <c:v>1350</c:v>
                </c:pt>
                <c:pt idx="95">
                  <c:v>1970</c:v>
                </c:pt>
                <c:pt idx="96">
                  <c:v>1580</c:v>
                </c:pt>
                <c:pt idx="97">
                  <c:v>2030</c:v>
                </c:pt>
                <c:pt idx="98">
                  <c:v>1530</c:v>
                </c:pt>
                <c:pt idx="99">
                  <c:v>2060</c:v>
                </c:pt>
                <c:pt idx="100">
                  <c:v>1360</c:v>
                </c:pt>
                <c:pt idx="101">
                  <c:v>1530</c:v>
                </c:pt>
                <c:pt idx="102">
                  <c:v>2630</c:v>
                </c:pt>
                <c:pt idx="103">
                  <c:v>2510</c:v>
                </c:pt>
                <c:pt idx="104">
                  <c:v>1940</c:v>
                </c:pt>
                <c:pt idx="105">
                  <c:v>2130</c:v>
                </c:pt>
                <c:pt idx="106">
                  <c:v>1840</c:v>
                </c:pt>
                <c:pt idx="107">
                  <c:v>2120</c:v>
                </c:pt>
                <c:pt idx="108">
                  <c:v>1040</c:v>
                </c:pt>
                <c:pt idx="109">
                  <c:v>1650</c:v>
                </c:pt>
                <c:pt idx="110">
                  <c:v>580</c:v>
                </c:pt>
                <c:pt idx="111">
                  <c:v>1910</c:v>
                </c:pt>
                <c:pt idx="112">
                  <c:v>1730</c:v>
                </c:pt>
                <c:pt idx="113">
                  <c:v>2280</c:v>
                </c:pt>
                <c:pt idx="114">
                  <c:v>1190</c:v>
                </c:pt>
                <c:pt idx="115">
                  <c:v>1800</c:v>
                </c:pt>
                <c:pt idx="116">
                  <c:v>1910</c:v>
                </c:pt>
                <c:pt idx="117">
                  <c:v>1570</c:v>
                </c:pt>
                <c:pt idx="118">
                  <c:v>1140</c:v>
                </c:pt>
                <c:pt idx="119">
                  <c:v>1390</c:v>
                </c:pt>
                <c:pt idx="120">
                  <c:v>1650</c:v>
                </c:pt>
                <c:pt idx="121">
                  <c:v>1720</c:v>
                </c:pt>
                <c:pt idx="122">
                  <c:v>2100</c:v>
                </c:pt>
                <c:pt idx="123">
                  <c:v>2660</c:v>
                </c:pt>
                <c:pt idx="124">
                  <c:v>1920</c:v>
                </c:pt>
                <c:pt idx="125">
                  <c:v>1720</c:v>
                </c:pt>
                <c:pt idx="126">
                  <c:v>1620</c:v>
                </c:pt>
                <c:pt idx="127">
                  <c:v>1070</c:v>
                </c:pt>
                <c:pt idx="128">
                  <c:v>970</c:v>
                </c:pt>
                <c:pt idx="129">
                  <c:v>1700</c:v>
                </c:pt>
                <c:pt idx="130">
                  <c:v>1760</c:v>
                </c:pt>
                <c:pt idx="131">
                  <c:v>590</c:v>
                </c:pt>
                <c:pt idx="132">
                  <c:v>2130</c:v>
                </c:pt>
                <c:pt idx="133">
                  <c:v>2230</c:v>
                </c:pt>
                <c:pt idx="134">
                  <c:v>1410</c:v>
                </c:pt>
                <c:pt idx="135">
                  <c:v>1890</c:v>
                </c:pt>
                <c:pt idx="136">
                  <c:v>1420</c:v>
                </c:pt>
                <c:pt idx="137">
                  <c:v>2830</c:v>
                </c:pt>
                <c:pt idx="138">
                  <c:v>1480</c:v>
                </c:pt>
                <c:pt idx="139">
                  <c:v>2490</c:v>
                </c:pt>
                <c:pt idx="140">
                  <c:v>1790</c:v>
                </c:pt>
                <c:pt idx="141">
                  <c:v>790</c:v>
                </c:pt>
                <c:pt idx="142">
                  <c:v>1190</c:v>
                </c:pt>
                <c:pt idx="143">
                  <c:v>1880</c:v>
                </c:pt>
                <c:pt idx="144">
                  <c:v>2910</c:v>
                </c:pt>
                <c:pt idx="145">
                  <c:v>2170</c:v>
                </c:pt>
                <c:pt idx="146">
                  <c:v>1690</c:v>
                </c:pt>
                <c:pt idx="147">
                  <c:v>920</c:v>
                </c:pt>
                <c:pt idx="148">
                  <c:v>1350</c:v>
                </c:pt>
                <c:pt idx="149">
                  <c:v>1760</c:v>
                </c:pt>
                <c:pt idx="150">
                  <c:v>660</c:v>
                </c:pt>
                <c:pt idx="151">
                  <c:v>1970</c:v>
                </c:pt>
                <c:pt idx="152">
                  <c:v>2580</c:v>
                </c:pt>
                <c:pt idx="153">
                  <c:v>1490</c:v>
                </c:pt>
                <c:pt idx="154">
                  <c:v>1470</c:v>
                </c:pt>
                <c:pt idx="155">
                  <c:v>2120</c:v>
                </c:pt>
                <c:pt idx="156">
                  <c:v>900</c:v>
                </c:pt>
                <c:pt idx="157">
                  <c:v>3100</c:v>
                </c:pt>
                <c:pt idx="158">
                  <c:v>2370</c:v>
                </c:pt>
                <c:pt idx="159">
                  <c:v>940</c:v>
                </c:pt>
                <c:pt idx="160">
                  <c:v>1600</c:v>
                </c:pt>
                <c:pt idx="161">
                  <c:v>2570</c:v>
                </c:pt>
                <c:pt idx="162">
                  <c:v>2580</c:v>
                </c:pt>
                <c:pt idx="163">
                  <c:v>900</c:v>
                </c:pt>
                <c:pt idx="164">
                  <c:v>2100</c:v>
                </c:pt>
                <c:pt idx="165">
                  <c:v>1740</c:v>
                </c:pt>
                <c:pt idx="166">
                  <c:v>1790</c:v>
                </c:pt>
                <c:pt idx="167">
                  <c:v>1630</c:v>
                </c:pt>
                <c:pt idx="168">
                  <c:v>1830</c:v>
                </c:pt>
                <c:pt idx="169">
                  <c:v>960</c:v>
                </c:pt>
                <c:pt idx="170">
                  <c:v>2870</c:v>
                </c:pt>
                <c:pt idx="171">
                  <c:v>1940</c:v>
                </c:pt>
                <c:pt idx="172">
                  <c:v>1580</c:v>
                </c:pt>
                <c:pt idx="173">
                  <c:v>1720</c:v>
                </c:pt>
                <c:pt idx="174">
                  <c:v>1360</c:v>
                </c:pt>
                <c:pt idx="175">
                  <c:v>2640</c:v>
                </c:pt>
                <c:pt idx="176">
                  <c:v>2090</c:v>
                </c:pt>
                <c:pt idx="177">
                  <c:v>2190</c:v>
                </c:pt>
                <c:pt idx="178">
                  <c:v>1910</c:v>
                </c:pt>
                <c:pt idx="179">
                  <c:v>1930</c:v>
                </c:pt>
                <c:pt idx="180">
                  <c:v>2300</c:v>
                </c:pt>
                <c:pt idx="181">
                  <c:v>1980</c:v>
                </c:pt>
                <c:pt idx="182">
                  <c:v>1330</c:v>
                </c:pt>
                <c:pt idx="183">
                  <c:v>1350</c:v>
                </c:pt>
                <c:pt idx="184">
                  <c:v>1870</c:v>
                </c:pt>
                <c:pt idx="185">
                  <c:v>1710</c:v>
                </c:pt>
                <c:pt idx="186">
                  <c:v>1770</c:v>
                </c:pt>
                <c:pt idx="187">
                  <c:v>750</c:v>
                </c:pt>
                <c:pt idx="188">
                  <c:v>2130</c:v>
                </c:pt>
                <c:pt idx="189">
                  <c:v>1110</c:v>
                </c:pt>
                <c:pt idx="190">
                  <c:v>1730</c:v>
                </c:pt>
                <c:pt idx="191">
                  <c:v>1260</c:v>
                </c:pt>
                <c:pt idx="192">
                  <c:v>1010</c:v>
                </c:pt>
                <c:pt idx="193">
                  <c:v>1390</c:v>
                </c:pt>
                <c:pt idx="194">
                  <c:v>1300</c:v>
                </c:pt>
                <c:pt idx="195">
                  <c:v>1600</c:v>
                </c:pt>
                <c:pt idx="196">
                  <c:v>910</c:v>
                </c:pt>
                <c:pt idx="197">
                  <c:v>1870</c:v>
                </c:pt>
                <c:pt idx="198">
                  <c:v>1310</c:v>
                </c:pt>
                <c:pt idx="199">
                  <c:v>1700</c:v>
                </c:pt>
                <c:pt idx="200">
                  <c:v>840</c:v>
                </c:pt>
                <c:pt idx="201">
                  <c:v>1770</c:v>
                </c:pt>
                <c:pt idx="202">
                  <c:v>1280</c:v>
                </c:pt>
                <c:pt idx="203">
                  <c:v>1780</c:v>
                </c:pt>
                <c:pt idx="204">
                  <c:v>2410</c:v>
                </c:pt>
                <c:pt idx="205">
                  <c:v>2350</c:v>
                </c:pt>
                <c:pt idx="206">
                  <c:v>1620</c:v>
                </c:pt>
                <c:pt idx="207">
                  <c:v>1970</c:v>
                </c:pt>
                <c:pt idx="208">
                  <c:v>1400</c:v>
                </c:pt>
                <c:pt idx="209">
                  <c:v>1770</c:v>
                </c:pt>
                <c:pt idx="210">
                  <c:v>2090</c:v>
                </c:pt>
                <c:pt idx="211">
                  <c:v>2140</c:v>
                </c:pt>
                <c:pt idx="212">
                  <c:v>1770</c:v>
                </c:pt>
                <c:pt idx="213">
                  <c:v>630</c:v>
                </c:pt>
                <c:pt idx="214">
                  <c:v>1650</c:v>
                </c:pt>
                <c:pt idx="215">
                  <c:v>1490</c:v>
                </c:pt>
                <c:pt idx="216">
                  <c:v>1380</c:v>
                </c:pt>
                <c:pt idx="217">
                  <c:v>1620</c:v>
                </c:pt>
                <c:pt idx="218">
                  <c:v>1750</c:v>
                </c:pt>
                <c:pt idx="219">
                  <c:v>1670</c:v>
                </c:pt>
                <c:pt idx="220">
                  <c:v>2300</c:v>
                </c:pt>
                <c:pt idx="221">
                  <c:v>1770</c:v>
                </c:pt>
                <c:pt idx="222">
                  <c:v>1010</c:v>
                </c:pt>
                <c:pt idx="223">
                  <c:v>1470</c:v>
                </c:pt>
                <c:pt idx="224">
                  <c:v>2000</c:v>
                </c:pt>
                <c:pt idx="225">
                  <c:v>840</c:v>
                </c:pt>
                <c:pt idx="226">
                  <c:v>2300</c:v>
                </c:pt>
                <c:pt idx="227">
                  <c:v>1760</c:v>
                </c:pt>
                <c:pt idx="228">
                  <c:v>1040</c:v>
                </c:pt>
                <c:pt idx="229">
                  <c:v>1280</c:v>
                </c:pt>
                <c:pt idx="230">
                  <c:v>1370</c:v>
                </c:pt>
                <c:pt idx="231">
                  <c:v>1630</c:v>
                </c:pt>
                <c:pt idx="232">
                  <c:v>1540</c:v>
                </c:pt>
                <c:pt idx="233">
                  <c:v>1380</c:v>
                </c:pt>
                <c:pt idx="234">
                  <c:v>1940</c:v>
                </c:pt>
                <c:pt idx="235">
                  <c:v>1770</c:v>
                </c:pt>
                <c:pt idx="236">
                  <c:v>1320</c:v>
                </c:pt>
                <c:pt idx="237">
                  <c:v>970</c:v>
                </c:pt>
                <c:pt idx="238">
                  <c:v>1530</c:v>
                </c:pt>
                <c:pt idx="239">
                  <c:v>1740</c:v>
                </c:pt>
                <c:pt idx="240">
                  <c:v>1990</c:v>
                </c:pt>
                <c:pt idx="241">
                  <c:v>1280</c:v>
                </c:pt>
                <c:pt idx="242">
                  <c:v>2260</c:v>
                </c:pt>
                <c:pt idx="243">
                  <c:v>2140</c:v>
                </c:pt>
                <c:pt idx="244">
                  <c:v>980</c:v>
                </c:pt>
                <c:pt idx="245">
                  <c:v>1740</c:v>
                </c:pt>
                <c:pt idx="246">
                  <c:v>1900</c:v>
                </c:pt>
                <c:pt idx="247">
                  <c:v>2680</c:v>
                </c:pt>
                <c:pt idx="248">
                  <c:v>1760</c:v>
                </c:pt>
                <c:pt idx="249">
                  <c:v>1130</c:v>
                </c:pt>
              </c:numCache>
            </c:numRef>
          </c:xVal>
          <c:yVal>
            <c:numRef>
              <c:f>Data_Clean!$M$2:$M$251</c:f>
              <c:numCache>
                <c:formatCode>\$#,##0;"($"#,##0\);\-</c:formatCode>
                <c:ptCount val="250"/>
                <c:pt idx="0">
                  <c:v>290000</c:v>
                </c:pt>
                <c:pt idx="1">
                  <c:v>451000</c:v>
                </c:pt>
                <c:pt idx="2">
                  <c:v>384000</c:v>
                </c:pt>
                <c:pt idx="3">
                  <c:v>442000</c:v>
                </c:pt>
                <c:pt idx="4">
                  <c:v>355000</c:v>
                </c:pt>
                <c:pt idx="5">
                  <c:v>358000</c:v>
                </c:pt>
                <c:pt idx="6">
                  <c:v>180000</c:v>
                </c:pt>
                <c:pt idx="7">
                  <c:v>239000</c:v>
                </c:pt>
                <c:pt idx="8">
                  <c:v>442000</c:v>
                </c:pt>
                <c:pt idx="9">
                  <c:v>411000</c:v>
                </c:pt>
                <c:pt idx="10">
                  <c:v>425000</c:v>
                </c:pt>
                <c:pt idx="11">
                  <c:v>450000</c:v>
                </c:pt>
                <c:pt idx="12">
                  <c:v>389000</c:v>
                </c:pt>
                <c:pt idx="13">
                  <c:v>359000</c:v>
                </c:pt>
                <c:pt idx="14">
                  <c:v>542000</c:v>
                </c:pt>
                <c:pt idx="15">
                  <c:v>298000</c:v>
                </c:pt>
                <c:pt idx="16">
                  <c:v>441000</c:v>
                </c:pt>
                <c:pt idx="17">
                  <c:v>342000</c:v>
                </c:pt>
                <c:pt idx="18">
                  <c:v>264000</c:v>
                </c:pt>
                <c:pt idx="19">
                  <c:v>403000</c:v>
                </c:pt>
                <c:pt idx="20">
                  <c:v>452000</c:v>
                </c:pt>
                <c:pt idx="21">
                  <c:v>239000</c:v>
                </c:pt>
                <c:pt idx="22">
                  <c:v>332000</c:v>
                </c:pt>
                <c:pt idx="23">
                  <c:v>334000</c:v>
                </c:pt>
                <c:pt idx="24">
                  <c:v>451000</c:v>
                </c:pt>
                <c:pt idx="25">
                  <c:v>377000</c:v>
                </c:pt>
                <c:pt idx="26">
                  <c:v>512000</c:v>
                </c:pt>
                <c:pt idx="27">
                  <c:v>177000</c:v>
                </c:pt>
                <c:pt idx="28">
                  <c:v>478000</c:v>
                </c:pt>
                <c:pt idx="29">
                  <c:v>131000</c:v>
                </c:pt>
                <c:pt idx="30">
                  <c:v>419000</c:v>
                </c:pt>
                <c:pt idx="31">
                  <c:v>352000</c:v>
                </c:pt>
                <c:pt idx="32">
                  <c:v>247000</c:v>
                </c:pt>
                <c:pt idx="33">
                  <c:v>333000</c:v>
                </c:pt>
                <c:pt idx="34">
                  <c:v>443000</c:v>
                </c:pt>
                <c:pt idx="35">
                  <c:v>334000</c:v>
                </c:pt>
                <c:pt idx="36">
                  <c:v>190000</c:v>
                </c:pt>
                <c:pt idx="37">
                  <c:v>3310000</c:v>
                </c:pt>
                <c:pt idx="38">
                  <c:v>489000</c:v>
                </c:pt>
                <c:pt idx="39">
                  <c:v>463000</c:v>
                </c:pt>
                <c:pt idx="40">
                  <c:v>513000</c:v>
                </c:pt>
                <c:pt idx="41">
                  <c:v>320000</c:v>
                </c:pt>
                <c:pt idx="42">
                  <c:v>392000</c:v>
                </c:pt>
                <c:pt idx="43">
                  <c:v>264000</c:v>
                </c:pt>
                <c:pt idx="44">
                  <c:v>487000</c:v>
                </c:pt>
                <c:pt idx="45">
                  <c:v>244000</c:v>
                </c:pt>
                <c:pt idx="46">
                  <c:v>548000</c:v>
                </c:pt>
                <c:pt idx="47">
                  <c:v>370000</c:v>
                </c:pt>
                <c:pt idx="48">
                  <c:v>697000</c:v>
                </c:pt>
                <c:pt idx="49">
                  <c:v>315000</c:v>
                </c:pt>
                <c:pt idx="50">
                  <c:v>636000</c:v>
                </c:pt>
                <c:pt idx="51">
                  <c:v>201000</c:v>
                </c:pt>
                <c:pt idx="52">
                  <c:v>214000</c:v>
                </c:pt>
                <c:pt idx="53">
                  <c:v>382000</c:v>
                </c:pt>
                <c:pt idx="54">
                  <c:v>280000</c:v>
                </c:pt>
                <c:pt idx="55">
                  <c:v>599000</c:v>
                </c:pt>
                <c:pt idx="56">
                  <c:v>590000</c:v>
                </c:pt>
                <c:pt idx="57">
                  <c:v>654000</c:v>
                </c:pt>
                <c:pt idx="58">
                  <c:v>496000</c:v>
                </c:pt>
                <c:pt idx="59">
                  <c:v>319000</c:v>
                </c:pt>
                <c:pt idx="60">
                  <c:v>373000</c:v>
                </c:pt>
                <c:pt idx="61">
                  <c:v>294000</c:v>
                </c:pt>
                <c:pt idx="62">
                  <c:v>596000</c:v>
                </c:pt>
                <c:pt idx="63">
                  <c:v>608000</c:v>
                </c:pt>
                <c:pt idx="64">
                  <c:v>596000</c:v>
                </c:pt>
                <c:pt idx="65">
                  <c:v>405000</c:v>
                </c:pt>
                <c:pt idx="66">
                  <c:v>336000</c:v>
                </c:pt>
                <c:pt idx="67">
                  <c:v>514000</c:v>
                </c:pt>
                <c:pt idx="68">
                  <c:v>238000</c:v>
                </c:pt>
                <c:pt idx="69">
                  <c:v>355000</c:v>
                </c:pt>
                <c:pt idx="70">
                  <c:v>317000</c:v>
                </c:pt>
                <c:pt idx="71">
                  <c:v>383000</c:v>
                </c:pt>
                <c:pt idx="72">
                  <c:v>355000</c:v>
                </c:pt>
                <c:pt idx="73">
                  <c:v>492000</c:v>
                </c:pt>
                <c:pt idx="74">
                  <c:v>198000</c:v>
                </c:pt>
                <c:pt idx="75">
                  <c:v>440000</c:v>
                </c:pt>
                <c:pt idx="76">
                  <c:v>466000</c:v>
                </c:pt>
                <c:pt idx="77">
                  <c:v>510000</c:v>
                </c:pt>
                <c:pt idx="78">
                  <c:v>278000</c:v>
                </c:pt>
                <c:pt idx="79">
                  <c:v>615000</c:v>
                </c:pt>
                <c:pt idx="80">
                  <c:v>510000</c:v>
                </c:pt>
                <c:pt idx="81">
                  <c:v>285000</c:v>
                </c:pt>
                <c:pt idx="82">
                  <c:v>509000</c:v>
                </c:pt>
                <c:pt idx="83">
                  <c:v>396000</c:v>
                </c:pt>
                <c:pt idx="84">
                  <c:v>386000</c:v>
                </c:pt>
                <c:pt idx="85">
                  <c:v>232000</c:v>
                </c:pt>
                <c:pt idx="86">
                  <c:v>119000</c:v>
                </c:pt>
                <c:pt idx="87">
                  <c:v>263000</c:v>
                </c:pt>
                <c:pt idx="88">
                  <c:v>501000</c:v>
                </c:pt>
                <c:pt idx="89">
                  <c:v>346000</c:v>
                </c:pt>
                <c:pt idx="90">
                  <c:v>259000</c:v>
                </c:pt>
                <c:pt idx="91">
                  <c:v>306000</c:v>
                </c:pt>
                <c:pt idx="92">
                  <c:v>365000</c:v>
                </c:pt>
                <c:pt idx="93">
                  <c:v>286000</c:v>
                </c:pt>
                <c:pt idx="94">
                  <c:v>295000</c:v>
                </c:pt>
                <c:pt idx="95">
                  <c:v>429000</c:v>
                </c:pt>
                <c:pt idx="96">
                  <c:v>317000</c:v>
                </c:pt>
                <c:pt idx="97">
                  <c:v>447000</c:v>
                </c:pt>
                <c:pt idx="98">
                  <c:v>340000</c:v>
                </c:pt>
                <c:pt idx="99">
                  <c:v>372000</c:v>
                </c:pt>
                <c:pt idx="100">
                  <c:v>289000</c:v>
                </c:pt>
                <c:pt idx="101">
                  <c:v>372000</c:v>
                </c:pt>
                <c:pt idx="102">
                  <c:v>485000</c:v>
                </c:pt>
                <c:pt idx="103">
                  <c:v>498000</c:v>
                </c:pt>
                <c:pt idx="104">
                  <c:v>373000</c:v>
                </c:pt>
                <c:pt idx="105">
                  <c:v>390000</c:v>
                </c:pt>
                <c:pt idx="106">
                  <c:v>514000</c:v>
                </c:pt>
                <c:pt idx="107">
                  <c:v>444000</c:v>
                </c:pt>
                <c:pt idx="108">
                  <c:v>332000</c:v>
                </c:pt>
                <c:pt idx="109">
                  <c:v>346000</c:v>
                </c:pt>
                <c:pt idx="110">
                  <c:v>131000</c:v>
                </c:pt>
                <c:pt idx="111">
                  <c:v>392000</c:v>
                </c:pt>
                <c:pt idx="112">
                  <c:v>361000</c:v>
                </c:pt>
                <c:pt idx="113">
                  <c:v>354000</c:v>
                </c:pt>
                <c:pt idx="114">
                  <c:v>234000</c:v>
                </c:pt>
                <c:pt idx="115">
                  <c:v>395000</c:v>
                </c:pt>
                <c:pt idx="116">
                  <c:v>450000</c:v>
                </c:pt>
                <c:pt idx="117">
                  <c:v>371000</c:v>
                </c:pt>
                <c:pt idx="118">
                  <c:v>364000</c:v>
                </c:pt>
                <c:pt idx="119">
                  <c:v>308000</c:v>
                </c:pt>
                <c:pt idx="120">
                  <c:v>474000</c:v>
                </c:pt>
                <c:pt idx="121">
                  <c:v>434000</c:v>
                </c:pt>
                <c:pt idx="122">
                  <c:v>422000</c:v>
                </c:pt>
                <c:pt idx="123">
                  <c:v>568000</c:v>
                </c:pt>
                <c:pt idx="124">
                  <c:v>525000</c:v>
                </c:pt>
                <c:pt idx="125">
                  <c:v>355000</c:v>
                </c:pt>
                <c:pt idx="126">
                  <c:v>435000</c:v>
                </c:pt>
                <c:pt idx="127">
                  <c:v>157000</c:v>
                </c:pt>
                <c:pt idx="128">
                  <c:v>254000</c:v>
                </c:pt>
                <c:pt idx="129">
                  <c:v>432000</c:v>
                </c:pt>
                <c:pt idx="130">
                  <c:v>409000</c:v>
                </c:pt>
                <c:pt idx="131">
                  <c:v>199000</c:v>
                </c:pt>
                <c:pt idx="132">
                  <c:v>663000</c:v>
                </c:pt>
                <c:pt idx="133">
                  <c:v>435000</c:v>
                </c:pt>
                <c:pt idx="134">
                  <c:v>368000</c:v>
                </c:pt>
                <c:pt idx="135">
                  <c:v>552000</c:v>
                </c:pt>
                <c:pt idx="136">
                  <c:v>259000</c:v>
                </c:pt>
                <c:pt idx="137">
                  <c:v>637000</c:v>
                </c:pt>
                <c:pt idx="138">
                  <c:v>395000</c:v>
                </c:pt>
                <c:pt idx="139">
                  <c:v>327000</c:v>
                </c:pt>
                <c:pt idx="140">
                  <c:v>274000</c:v>
                </c:pt>
                <c:pt idx="141">
                  <c:v>146000</c:v>
                </c:pt>
                <c:pt idx="142">
                  <c:v>322000</c:v>
                </c:pt>
                <c:pt idx="143">
                  <c:v>329000</c:v>
                </c:pt>
                <c:pt idx="144">
                  <c:v>611000</c:v>
                </c:pt>
                <c:pt idx="145">
                  <c:v>369000</c:v>
                </c:pt>
                <c:pt idx="146">
                  <c:v>401000</c:v>
                </c:pt>
                <c:pt idx="147">
                  <c:v>174000</c:v>
                </c:pt>
                <c:pt idx="148">
                  <c:v>301000</c:v>
                </c:pt>
                <c:pt idx="149">
                  <c:v>444000</c:v>
                </c:pt>
                <c:pt idx="150">
                  <c:v>189000</c:v>
                </c:pt>
                <c:pt idx="151">
                  <c:v>449000</c:v>
                </c:pt>
                <c:pt idx="152">
                  <c:v>546000</c:v>
                </c:pt>
                <c:pt idx="153">
                  <c:v>428000</c:v>
                </c:pt>
                <c:pt idx="154">
                  <c:v>472000</c:v>
                </c:pt>
                <c:pt idx="155">
                  <c:v>338000</c:v>
                </c:pt>
                <c:pt idx="156">
                  <c:v>284000</c:v>
                </c:pt>
                <c:pt idx="157">
                  <c:v>619000</c:v>
                </c:pt>
                <c:pt idx="158">
                  <c:v>521000</c:v>
                </c:pt>
                <c:pt idx="159">
                  <c:v>278000</c:v>
                </c:pt>
                <c:pt idx="160">
                  <c:v>317000</c:v>
                </c:pt>
                <c:pt idx="161">
                  <c:v>528000</c:v>
                </c:pt>
                <c:pt idx="162">
                  <c:v>519000</c:v>
                </c:pt>
                <c:pt idx="163">
                  <c:v>230000</c:v>
                </c:pt>
                <c:pt idx="164">
                  <c:v>315000</c:v>
                </c:pt>
                <c:pt idx="165">
                  <c:v>294000</c:v>
                </c:pt>
                <c:pt idx="166">
                  <c:v>493000</c:v>
                </c:pt>
                <c:pt idx="167">
                  <c:v>293000</c:v>
                </c:pt>
                <c:pt idx="168">
                  <c:v>446000</c:v>
                </c:pt>
                <c:pt idx="169">
                  <c:v>316000</c:v>
                </c:pt>
                <c:pt idx="170">
                  <c:v>777000</c:v>
                </c:pt>
                <c:pt idx="171">
                  <c:v>503000</c:v>
                </c:pt>
                <c:pt idx="172">
                  <c:v>262000</c:v>
                </c:pt>
                <c:pt idx="173">
                  <c:v>292000</c:v>
                </c:pt>
                <c:pt idx="174">
                  <c:v>381000</c:v>
                </c:pt>
                <c:pt idx="175">
                  <c:v>436000</c:v>
                </c:pt>
                <c:pt idx="176">
                  <c:v>339000</c:v>
                </c:pt>
                <c:pt idx="177">
                  <c:v>638000</c:v>
                </c:pt>
                <c:pt idx="178">
                  <c:v>473000</c:v>
                </c:pt>
                <c:pt idx="179">
                  <c:v>490000</c:v>
                </c:pt>
                <c:pt idx="180">
                  <c:v>519000</c:v>
                </c:pt>
                <c:pt idx="181">
                  <c:v>317000</c:v>
                </c:pt>
                <c:pt idx="182">
                  <c:v>302000</c:v>
                </c:pt>
                <c:pt idx="183">
                  <c:v>312000</c:v>
                </c:pt>
                <c:pt idx="184">
                  <c:v>514000</c:v>
                </c:pt>
                <c:pt idx="185">
                  <c:v>346000</c:v>
                </c:pt>
                <c:pt idx="186">
                  <c:v>338000</c:v>
                </c:pt>
                <c:pt idx="187">
                  <c:v>215000</c:v>
                </c:pt>
                <c:pt idx="188">
                  <c:v>642000</c:v>
                </c:pt>
                <c:pt idx="189">
                  <c:v>274000</c:v>
                </c:pt>
                <c:pt idx="190">
                  <c:v>344000</c:v>
                </c:pt>
                <c:pt idx="191">
                  <c:v>342000</c:v>
                </c:pt>
                <c:pt idx="192">
                  <c:v>265000</c:v>
                </c:pt>
                <c:pt idx="193">
                  <c:v>419000</c:v>
                </c:pt>
                <c:pt idx="194">
                  <c:v>335000</c:v>
                </c:pt>
                <c:pt idx="195">
                  <c:v>328000</c:v>
                </c:pt>
                <c:pt idx="196">
                  <c:v>194000</c:v>
                </c:pt>
                <c:pt idx="197">
                  <c:v>306000</c:v>
                </c:pt>
                <c:pt idx="198">
                  <c:v>234000</c:v>
                </c:pt>
                <c:pt idx="199">
                  <c:v>367000</c:v>
                </c:pt>
                <c:pt idx="200">
                  <c:v>164000</c:v>
                </c:pt>
                <c:pt idx="201">
                  <c:v>407000</c:v>
                </c:pt>
                <c:pt idx="202">
                  <c:v>476000</c:v>
                </c:pt>
                <c:pt idx="203">
                  <c:v>294000</c:v>
                </c:pt>
                <c:pt idx="204">
                  <c:v>654000</c:v>
                </c:pt>
                <c:pt idx="205">
                  <c:v>414000</c:v>
                </c:pt>
                <c:pt idx="206">
                  <c:v>297000</c:v>
                </c:pt>
                <c:pt idx="207">
                  <c:v>367000</c:v>
                </c:pt>
                <c:pt idx="208">
                  <c:v>302000</c:v>
                </c:pt>
                <c:pt idx="209">
                  <c:v>355000</c:v>
                </c:pt>
                <c:pt idx="210">
                  <c:v>375000</c:v>
                </c:pt>
                <c:pt idx="211">
                  <c:v>464000</c:v>
                </c:pt>
                <c:pt idx="212">
                  <c:v>388000</c:v>
                </c:pt>
                <c:pt idx="213">
                  <c:v>116000</c:v>
                </c:pt>
                <c:pt idx="214">
                  <c:v>432000</c:v>
                </c:pt>
                <c:pt idx="215">
                  <c:v>234000</c:v>
                </c:pt>
                <c:pt idx="216">
                  <c:v>202000</c:v>
                </c:pt>
                <c:pt idx="217">
                  <c:v>364000</c:v>
                </c:pt>
                <c:pt idx="218">
                  <c:v>385000</c:v>
                </c:pt>
                <c:pt idx="219">
                  <c:v>435000</c:v>
                </c:pt>
                <c:pt idx="220">
                  <c:v>536000</c:v>
                </c:pt>
                <c:pt idx="221">
                  <c:v>374000</c:v>
                </c:pt>
                <c:pt idx="222">
                  <c:v>310000</c:v>
                </c:pt>
                <c:pt idx="223">
                  <c:v>357000</c:v>
                </c:pt>
                <c:pt idx="224">
                  <c:v>470000</c:v>
                </c:pt>
                <c:pt idx="225">
                  <c:v>139000</c:v>
                </c:pt>
                <c:pt idx="226">
                  <c:v>457000</c:v>
                </c:pt>
                <c:pt idx="227">
                  <c:v>387000</c:v>
                </c:pt>
                <c:pt idx="228">
                  <c:v>209000</c:v>
                </c:pt>
                <c:pt idx="229">
                  <c:v>227000</c:v>
                </c:pt>
                <c:pt idx="230">
                  <c:v>284000</c:v>
                </c:pt>
                <c:pt idx="231">
                  <c:v>343000</c:v>
                </c:pt>
                <c:pt idx="232">
                  <c:v>310000</c:v>
                </c:pt>
                <c:pt idx="233">
                  <c:v>196000</c:v>
                </c:pt>
                <c:pt idx="234">
                  <c:v>352000</c:v>
                </c:pt>
                <c:pt idx="235">
                  <c:v>303000</c:v>
                </c:pt>
                <c:pt idx="236">
                  <c:v>425000</c:v>
                </c:pt>
                <c:pt idx="237">
                  <c:v>215000</c:v>
                </c:pt>
                <c:pt idx="238">
                  <c:v>358000</c:v>
                </c:pt>
                <c:pt idx="239">
                  <c:v>274000</c:v>
                </c:pt>
                <c:pt idx="240">
                  <c:v>358000</c:v>
                </c:pt>
                <c:pt idx="241">
                  <c:v>445000</c:v>
                </c:pt>
                <c:pt idx="242">
                  <c:v>449000</c:v>
                </c:pt>
                <c:pt idx="243">
                  <c:v>494000</c:v>
                </c:pt>
                <c:pt idx="244">
                  <c:v>250000</c:v>
                </c:pt>
                <c:pt idx="245">
                  <c:v>301000</c:v>
                </c:pt>
                <c:pt idx="246">
                  <c:v>364000</c:v>
                </c:pt>
                <c:pt idx="247">
                  <c:v>843000</c:v>
                </c:pt>
                <c:pt idx="248">
                  <c:v>355000</c:v>
                </c:pt>
                <c:pt idx="249">
                  <c:v>256000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D71-41AD-A135-88D9C3A4949B}"/>
            </c:ext>
          </c:extLst>
        </c:ser>
        <c:ser>
          <c:idx val="1"/>
          <c:order val="1"/>
          <c:tx>
            <c:v>Trend (outliers excluded)</c:v>
          </c:tx>
          <c:spPr>
            <a:ln w="2844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Analysis!$B$52:$B$53</c:f>
              <c:numCache>
                <c:formatCode>#,##0</c:formatCode>
                <c:ptCount val="2"/>
                <c:pt idx="0">
                  <c:v>500</c:v>
                </c:pt>
                <c:pt idx="1">
                  <c:v>3500</c:v>
                </c:pt>
              </c:numCache>
            </c:numRef>
          </c:xVal>
          <c:yVal>
            <c:numRef>
              <c:f>Analysis!$C$52:$C$53</c:f>
              <c:numCache>
                <c:formatCode>\$#,##0</c:formatCode>
                <c:ptCount val="2"/>
                <c:pt idx="0">
                  <c:v>154081.01343479427</c:v>
                </c:pt>
                <c:pt idx="1">
                  <c:v>704686.21280568326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D71-41AD-A135-88D9C3A494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39457"/>
        <c:axId val="66794822"/>
      </c:scatterChart>
      <c:valAx>
        <c:axId val="64939457"/>
        <c:scaling>
          <c:orientation val="minMax"/>
          <c:max val="40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800" b="0" strike="noStrike" spc="-1">
                    <a:solidFill>
                      <a:srgbClr val="5B6675"/>
                    </a:solidFill>
                    <a:latin typeface="Arial"/>
                  </a:defRPr>
                </a:pPr>
                <a:r>
                  <a:rPr sz="800" b="0" strike="noStrike" spc="-1">
                    <a:solidFill>
                      <a:srgbClr val="5B6675"/>
                    </a:solidFill>
                    <a:latin typeface="Arial"/>
                  </a:rPr>
                  <a:t>Living area (sq ft) — 1 luxury outlier at 6,400 sq ft is off-scale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66794822"/>
        <c:crosses val="autoZero"/>
        <c:crossBetween val="midCat"/>
      </c:valAx>
      <c:valAx>
        <c:axId val="66794822"/>
        <c:scaling>
          <c:orientation val="minMax"/>
          <c:max val="1000000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64939457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Sale Price by Condition (Average vs. Median)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</c:v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0" strike="noStrike" spc="-1">
                    <a:solidFill>
                      <a:srgbClr val="44546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Pivots!$A$23:$A$26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Pivots!$E$23:$E$26</c:f>
              <c:numCache>
                <c:formatCode>\$#,##0</c:formatCode>
                <c:ptCount val="4"/>
                <c:pt idx="0">
                  <c:v>458951.61290322582</c:v>
                </c:pt>
                <c:pt idx="1">
                  <c:v>372628.57142857142</c:v>
                </c:pt>
                <c:pt idx="2">
                  <c:v>360083.33333333331</c:v>
                </c:pt>
                <c:pt idx="3">
                  <c:v>317818.18181818182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0D-4233-A9C1-DB0FB0319FCB}"/>
            </c:ext>
          </c:extLst>
        </c:ser>
        <c:ser>
          <c:idx val="1"/>
          <c:order val="1"/>
          <c:tx>
            <c:v>Median</c:v>
          </c:tx>
          <c:spPr>
            <a:solidFill>
              <a:srgbClr val="E9A23B"/>
            </a:solidFill>
            <a:ln w="0">
              <a:solidFill>
                <a:srgbClr val="E9A23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0" strike="noStrike" spc="-1">
                    <a:solidFill>
                      <a:srgbClr val="44546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Pivots!$A$23:$A$26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Pivots!$F$23:$F$26</c:f>
              <c:numCache>
                <c:formatCode>\$#,##0</c:formatCode>
                <c:ptCount val="4"/>
                <c:pt idx="0">
                  <c:v>405000</c:v>
                </c:pt>
                <c:pt idx="1">
                  <c:v>364000</c:v>
                </c:pt>
                <c:pt idx="2">
                  <c:v>346000</c:v>
                </c:pt>
                <c:pt idx="3">
                  <c:v>315000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0D-4233-A9C1-DB0FB0319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5"/>
        <c:axId val="81445867"/>
        <c:axId val="26466662"/>
      </c:barChart>
      <c:catAx>
        <c:axId val="81445867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26466662"/>
        <c:crosses val="autoZero"/>
        <c:auto val="1"/>
        <c:lblAlgn val="ctr"/>
        <c:lblOffset val="100"/>
        <c:noMultiLvlLbl val="0"/>
      </c:catAx>
      <c:valAx>
        <c:axId val="26466662"/>
        <c:scaling>
          <c:orientation val="minMax"/>
        </c:scaling>
        <c:delete val="0"/>
        <c:axPos val="b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144586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Average Sale Price by Bedrooms (1-5 BR)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price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Pivots!$A$32:$A$36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Pivots!$E$32:$E$36</c:f>
              <c:numCache>
                <c:formatCode>\$#,##0</c:formatCode>
                <c:ptCount val="5"/>
                <c:pt idx="0">
                  <c:v>222185.1851851852</c:v>
                </c:pt>
                <c:pt idx="1">
                  <c:v>302431.37254901958</c:v>
                </c:pt>
                <c:pt idx="2">
                  <c:v>380393.61702127662</c:v>
                </c:pt>
                <c:pt idx="3">
                  <c:v>448581.81818181818</c:v>
                </c:pt>
                <c:pt idx="4">
                  <c:v>565363.63636363635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A3-48D5-A13D-5F6FA9805C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6476663"/>
        <c:axId val="9312270"/>
      </c:barChart>
      <c:catAx>
        <c:axId val="4647666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800" b="0" strike="noStrike" spc="-1">
                    <a:solidFill>
                      <a:srgbClr val="5B6675"/>
                    </a:solidFill>
                    <a:latin typeface="Arial"/>
                  </a:defRPr>
                </a:pPr>
                <a:r>
                  <a:rPr sz="800" b="0" strike="noStrike" spc="-1">
                    <a:solidFill>
                      <a:srgbClr val="5B6675"/>
                    </a:solidFill>
                    <a:latin typeface="Arial"/>
                  </a:rPr>
                  <a:t>Bedrooms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9312270"/>
        <c:crosses val="autoZero"/>
        <c:auto val="1"/>
        <c:lblAlgn val="ctr"/>
        <c:lblOffset val="100"/>
        <c:noMultiLvlLbl val="0"/>
      </c:catAx>
      <c:valAx>
        <c:axId val="9312270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46476663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Monthly Sales Volume (bars) vs. Average &amp; 3-Month Rolling Price (lines)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Homes sold</c:v>
          </c:tx>
          <c:spPr>
            <a:solidFill>
              <a:srgbClr val="9CC9C3"/>
            </a:solidFill>
            <a:ln w="0">
              <a:solidFill>
                <a:srgbClr val="9CC9C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Pivots!$B$42:$B$61</c:f>
              <c:numCache>
                <c:formatCode>0</c:formatCode>
                <c:ptCount val="20"/>
                <c:pt idx="0">
                  <c:v>17</c:v>
                </c:pt>
                <c:pt idx="1">
                  <c:v>12</c:v>
                </c:pt>
                <c:pt idx="2">
                  <c:v>19</c:v>
                </c:pt>
                <c:pt idx="3">
                  <c:v>13</c:v>
                </c:pt>
                <c:pt idx="4">
                  <c:v>10</c:v>
                </c:pt>
                <c:pt idx="5">
                  <c:v>11</c:v>
                </c:pt>
                <c:pt idx="6">
                  <c:v>15</c:v>
                </c:pt>
                <c:pt idx="7">
                  <c:v>13</c:v>
                </c:pt>
                <c:pt idx="8">
                  <c:v>12</c:v>
                </c:pt>
                <c:pt idx="9">
                  <c:v>13</c:v>
                </c:pt>
                <c:pt idx="10">
                  <c:v>11</c:v>
                </c:pt>
                <c:pt idx="11">
                  <c:v>7</c:v>
                </c:pt>
                <c:pt idx="12">
                  <c:v>18</c:v>
                </c:pt>
                <c:pt idx="13">
                  <c:v>9</c:v>
                </c:pt>
                <c:pt idx="14">
                  <c:v>10</c:v>
                </c:pt>
                <c:pt idx="15">
                  <c:v>9</c:v>
                </c:pt>
                <c:pt idx="16">
                  <c:v>16</c:v>
                </c:pt>
                <c:pt idx="17">
                  <c:v>9</c:v>
                </c:pt>
                <c:pt idx="18">
                  <c:v>21</c:v>
                </c:pt>
                <c:pt idx="19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10-4D1D-919A-CBF147D8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40877490"/>
        <c:axId val="83773047"/>
      </c:barChart>
      <c:lineChart>
        <c:grouping val="standard"/>
        <c:varyColors val="0"/>
        <c:ser>
          <c:idx val="1"/>
          <c:order val="1"/>
          <c:tx>
            <c:v>Avg sale price</c:v>
          </c:tx>
          <c:spPr>
            <a:ln w="22320">
              <a:solidFill>
                <a:srgbClr val="1F3A5F"/>
              </a:solidFill>
              <a:round/>
            </a:ln>
          </c:spPr>
          <c:marker>
            <c:symbol val="circle"/>
            <c:size val="5"/>
            <c:spPr>
              <a:solidFill>
                <a:srgbClr val="1F3A5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Pivots!$D$42:$D$61</c:f>
              <c:numCache>
                <c:formatCode>\$#,##0</c:formatCode>
                <c:ptCount val="20"/>
                <c:pt idx="0">
                  <c:v>379764.70588235295</c:v>
                </c:pt>
                <c:pt idx="1">
                  <c:v>363416.66666666669</c:v>
                </c:pt>
                <c:pt idx="2">
                  <c:v>518368.42105263157</c:v>
                </c:pt>
                <c:pt idx="3">
                  <c:v>442769.23076923075</c:v>
                </c:pt>
                <c:pt idx="4">
                  <c:v>425900</c:v>
                </c:pt>
                <c:pt idx="5">
                  <c:v>412000</c:v>
                </c:pt>
                <c:pt idx="6">
                  <c:v>333933.33333333331</c:v>
                </c:pt>
                <c:pt idx="7">
                  <c:v>400153.84615384613</c:v>
                </c:pt>
                <c:pt idx="8">
                  <c:v>355666.66666666669</c:v>
                </c:pt>
                <c:pt idx="9">
                  <c:v>401692.30769230769</c:v>
                </c:pt>
                <c:pt idx="10">
                  <c:v>383727.27272727271</c:v>
                </c:pt>
                <c:pt idx="11">
                  <c:v>357714.28571428574</c:v>
                </c:pt>
                <c:pt idx="12">
                  <c:v>414888.88888888888</c:v>
                </c:pt>
                <c:pt idx="13">
                  <c:v>423777.77777777775</c:v>
                </c:pt>
                <c:pt idx="14">
                  <c:v>377900</c:v>
                </c:pt>
                <c:pt idx="15">
                  <c:v>307444.44444444444</c:v>
                </c:pt>
                <c:pt idx="16">
                  <c:v>367000</c:v>
                </c:pt>
                <c:pt idx="17">
                  <c:v>355222.22222222225</c:v>
                </c:pt>
                <c:pt idx="18">
                  <c:v>330714.28571428574</c:v>
                </c:pt>
                <c:pt idx="19">
                  <c:v>423800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410-4D1D-919A-CBF147D85E74}"/>
            </c:ext>
          </c:extLst>
        </c:ser>
        <c:ser>
          <c:idx val="2"/>
          <c:order val="2"/>
          <c:tx>
            <c:v>3-mo rolling avg</c:v>
          </c:tx>
          <c:spPr>
            <a:ln w="34920">
              <a:solidFill>
                <a:srgbClr val="E9A23B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Pivots!$I$42:$I$61</c:f>
              <c:strCache>
                <c:ptCount val="20"/>
                <c:pt idx="0">
                  <c:v>Jan-25</c:v>
                </c:pt>
                <c:pt idx="1">
                  <c:v>Feb-25</c:v>
                </c:pt>
                <c:pt idx="2">
                  <c:v>Mar-25</c:v>
                </c:pt>
                <c:pt idx="3">
                  <c:v>Apr-25</c:v>
                </c:pt>
                <c:pt idx="4">
                  <c:v>May-25</c:v>
                </c:pt>
                <c:pt idx="5">
                  <c:v>Jun-25</c:v>
                </c:pt>
                <c:pt idx="6">
                  <c:v>Jul-25</c:v>
                </c:pt>
                <c:pt idx="7">
                  <c:v>Aug-25</c:v>
                </c:pt>
                <c:pt idx="8">
                  <c:v>Sep-25</c:v>
                </c:pt>
                <c:pt idx="9">
                  <c:v>Oct-25</c:v>
                </c:pt>
                <c:pt idx="10">
                  <c:v>Nov-25</c:v>
                </c:pt>
                <c:pt idx="11">
                  <c:v>Dec-25</c:v>
                </c:pt>
                <c:pt idx="12">
                  <c:v>Jan-26</c:v>
                </c:pt>
                <c:pt idx="13">
                  <c:v>Feb-26</c:v>
                </c:pt>
                <c:pt idx="14">
                  <c:v>Mar-26</c:v>
                </c:pt>
                <c:pt idx="15">
                  <c:v>Apr-26</c:v>
                </c:pt>
                <c:pt idx="16">
                  <c:v>May-26</c:v>
                </c:pt>
                <c:pt idx="17">
                  <c:v>Jun-26</c:v>
                </c:pt>
                <c:pt idx="18">
                  <c:v>Jul-26</c:v>
                </c:pt>
                <c:pt idx="19">
                  <c:v>Aug-26</c:v>
                </c:pt>
              </c:strCache>
            </c:strRef>
          </c:cat>
          <c:val>
            <c:numRef>
              <c:f>Pivots!$H$42:$H$61</c:f>
              <c:numCache>
                <c:formatCode>\$#,##0</c:formatCode>
                <c:ptCount val="20"/>
                <c:pt idx="0">
                  <c:v>379764.70588235295</c:v>
                </c:pt>
                <c:pt idx="1">
                  <c:v>373000</c:v>
                </c:pt>
                <c:pt idx="2">
                  <c:v>430541.66666666669</c:v>
                </c:pt>
                <c:pt idx="3">
                  <c:v>453772.72727272729</c:v>
                </c:pt>
                <c:pt idx="4">
                  <c:v>472952.38095238095</c:v>
                </c:pt>
                <c:pt idx="5">
                  <c:v>427852.9411764706</c:v>
                </c:pt>
                <c:pt idx="6">
                  <c:v>383333.33333333331</c:v>
                </c:pt>
                <c:pt idx="7">
                  <c:v>378025.641025641</c:v>
                </c:pt>
                <c:pt idx="8">
                  <c:v>361975</c:v>
                </c:pt>
                <c:pt idx="9">
                  <c:v>386631.57894736843</c:v>
                </c:pt>
                <c:pt idx="10">
                  <c:v>380861.11111111112</c:v>
                </c:pt>
                <c:pt idx="11">
                  <c:v>385387.09677419357</c:v>
                </c:pt>
                <c:pt idx="12">
                  <c:v>394250</c:v>
                </c:pt>
                <c:pt idx="13">
                  <c:v>405470.5882352941</c:v>
                </c:pt>
                <c:pt idx="14">
                  <c:v>407054.05405405408</c:v>
                </c:pt>
                <c:pt idx="15">
                  <c:v>370000</c:v>
                </c:pt>
                <c:pt idx="16">
                  <c:v>354800</c:v>
                </c:pt>
                <c:pt idx="17">
                  <c:v>348117.64705882355</c:v>
                </c:pt>
                <c:pt idx="18">
                  <c:v>348130.4347826087</c:v>
                </c:pt>
                <c:pt idx="19">
                  <c:v>350314.28571428574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410-4D1D-919A-CBF147D85E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78803279"/>
        <c:axId val="32170778"/>
      </c:lineChart>
      <c:catAx>
        <c:axId val="4087749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3773047"/>
        <c:crosses val="autoZero"/>
        <c:auto val="1"/>
        <c:lblAlgn val="ctr"/>
        <c:lblOffset val="100"/>
        <c:noMultiLvlLbl val="0"/>
      </c:catAx>
      <c:valAx>
        <c:axId val="8377304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40877490"/>
        <c:crosses val="autoZero"/>
        <c:crossBetween val="between"/>
      </c:valAx>
      <c:catAx>
        <c:axId val="788032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32170778"/>
        <c:crosses val="autoZero"/>
        <c:auto val="1"/>
        <c:lblAlgn val="ctr"/>
        <c:lblOffset val="100"/>
        <c:noMultiLvlLbl val="0"/>
      </c:catAx>
      <c:valAx>
        <c:axId val="32170778"/>
        <c:scaling>
          <c:orientation val="minMax"/>
          <c:min val="200000"/>
        </c:scaling>
        <c:delete val="0"/>
        <c:axPos val="r"/>
        <c:numFmt formatCode="\$#,##0,\K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78803279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Average vs. Median Sale Price by Neighborhood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Average</c:v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Pivots!$E$6:$E$10</c:f>
              <c:numCache>
                <c:formatCode>\$#,##0</c:formatCode>
                <c:ptCount val="5"/>
                <c:pt idx="0">
                  <c:v>285641.02564102563</c:v>
                </c:pt>
                <c:pt idx="1">
                  <c:v>429972.22222222225</c:v>
                </c:pt>
                <c:pt idx="2">
                  <c:v>336588.23529411765</c:v>
                </c:pt>
                <c:pt idx="3">
                  <c:v>492620.68965517241</c:v>
                </c:pt>
                <c:pt idx="4">
                  <c:v>383145.16129032261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06-4409-B95B-2F92FEA2C911}"/>
            </c:ext>
          </c:extLst>
        </c:ser>
        <c:ser>
          <c:idx val="1"/>
          <c:order val="1"/>
          <c:tx>
            <c:v>Median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Pivots!$F$6:$F$10</c:f>
              <c:numCache>
                <c:formatCode>\$#,##0</c:formatCode>
                <c:ptCount val="5"/>
                <c:pt idx="0">
                  <c:v>306000</c:v>
                </c:pt>
                <c:pt idx="1">
                  <c:v>407000</c:v>
                </c:pt>
                <c:pt idx="2">
                  <c:v>339000</c:v>
                </c:pt>
                <c:pt idx="3">
                  <c:v>450500</c:v>
                </c:pt>
                <c:pt idx="4">
                  <c:v>381500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06-4409-B95B-2F92FEA2C9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overlap val="-5"/>
        <c:axId val="6434079"/>
        <c:axId val="16723074"/>
      </c:barChart>
      <c:catAx>
        <c:axId val="64340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16723074"/>
        <c:crosses val="autoZero"/>
        <c:auto val="1"/>
        <c:lblAlgn val="ctr"/>
        <c:lblOffset val="100"/>
        <c:noMultiLvlLbl val="0"/>
      </c:catAx>
      <c:valAx>
        <c:axId val="1672307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643407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Days on Market (bars) vs. Sale-to-List % (line)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days on market</c:v>
          </c:tx>
          <c:spPr>
            <a:solidFill>
              <a:srgbClr val="9CC9C3"/>
            </a:solidFill>
            <a:ln w="0">
              <a:solidFill>
                <a:srgbClr val="9CC9C3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Pivots!$H$6:$H$10</c:f>
              <c:numCache>
                <c:formatCode>0.0</c:formatCode>
                <c:ptCount val="5"/>
                <c:pt idx="0">
                  <c:v>67.578947368421055</c:v>
                </c:pt>
                <c:pt idx="1">
                  <c:v>52.777777777777779</c:v>
                </c:pt>
                <c:pt idx="2">
                  <c:v>54.170212765957444</c:v>
                </c:pt>
                <c:pt idx="3">
                  <c:v>58.142857142857146</c:v>
                </c:pt>
                <c:pt idx="4">
                  <c:v>54.770491803278688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1E-4D9C-8236-A6EC13042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70"/>
        <c:axId val="4925305"/>
        <c:axId val="30818257"/>
      </c:barChart>
      <c:lineChart>
        <c:grouping val="standard"/>
        <c:varyColors val="0"/>
        <c:ser>
          <c:idx val="1"/>
          <c:order val="1"/>
          <c:tx>
            <c:v>Avg sale-to-list %</c:v>
          </c:tx>
          <c:spPr>
            <a:ln w="28440">
              <a:solidFill>
                <a:srgbClr val="E76F51"/>
              </a:solidFill>
              <a:round/>
            </a:ln>
          </c:spPr>
          <c:marker>
            <c:symbol val="diamond"/>
            <c:size val="8"/>
            <c:spPr>
              <a:solidFill>
                <a:srgbClr val="E76F51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1" strike="noStrike" spc="-1">
                    <a:solidFill>
                      <a:srgbClr val="E76F51"/>
                    </a:solidFill>
                    <a:latin typeface="Arial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Pivots!$A$6:$A$10</c:f>
              <c:strCache>
                <c:ptCount val="5"/>
                <c:pt idx="0">
                  <c:v>Cedar Park</c:v>
                </c:pt>
                <c:pt idx="1">
                  <c:v>Downtown</c:v>
                </c:pt>
                <c:pt idx="2">
                  <c:v>Maple Heights</c:v>
                </c:pt>
                <c:pt idx="3">
                  <c:v>Oak Hill</c:v>
                </c:pt>
                <c:pt idx="4">
                  <c:v>Riverside</c:v>
                </c:pt>
              </c:strCache>
            </c:strRef>
          </c:cat>
          <c:val>
            <c:numRef>
              <c:f>Pivots!$I$6:$I$10</c:f>
              <c:numCache>
                <c:formatCode>0.0%</c:formatCode>
                <c:ptCount val="5"/>
                <c:pt idx="0">
                  <c:v>0.97450340946562075</c:v>
                </c:pt>
                <c:pt idx="1">
                  <c:v>0.97717766473621637</c:v>
                </c:pt>
                <c:pt idx="2">
                  <c:v>0.97104751458188432</c:v>
                </c:pt>
                <c:pt idx="3">
                  <c:v>0.97342953711263269</c:v>
                </c:pt>
                <c:pt idx="4">
                  <c:v>0.9769099765186402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71E-4D9C-8236-A6EC13042F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0037527"/>
        <c:axId val="48990913"/>
      </c:lineChart>
      <c:catAx>
        <c:axId val="492530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30818257"/>
        <c:crosses val="autoZero"/>
        <c:auto val="1"/>
        <c:lblAlgn val="ctr"/>
        <c:lblOffset val="100"/>
        <c:noMultiLvlLbl val="0"/>
      </c:catAx>
      <c:valAx>
        <c:axId val="30818257"/>
        <c:scaling>
          <c:orientation val="minMax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4925305"/>
        <c:crosses val="autoZero"/>
        <c:crossBetween val="between"/>
      </c:valAx>
      <c:catAx>
        <c:axId val="40037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48990913"/>
        <c:crosses val="autoZero"/>
        <c:auto val="1"/>
        <c:lblAlgn val="ctr"/>
        <c:lblOffset val="100"/>
        <c:noMultiLvlLbl val="0"/>
      </c:catAx>
      <c:valAx>
        <c:axId val="48990913"/>
        <c:scaling>
          <c:orientation val="minMax"/>
          <c:max val="1"/>
          <c:min val="0.95"/>
        </c:scaling>
        <c:delete val="0"/>
        <c:axPos val="r"/>
        <c:numFmt formatCode="0%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40037527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Share of Sales by Property Type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doughnutChart>
        <c:varyColors val="1"/>
        <c:ser>
          <c:idx val="0"/>
          <c:order val="0"/>
          <c:tx>
            <c:v>Sales</c:v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spPr>
              <a:solidFill>
                <a:srgbClr val="2A9D8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1-9A5A-4115-A3CB-FF0205DF5118}"/>
              </c:ext>
            </c:extLst>
          </c:dPt>
          <c:dPt>
            <c:idx val="1"/>
            <c:bubble3D val="0"/>
            <c:spPr>
              <a:solidFill>
                <a:srgbClr val="1F3A5F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3-9A5A-4115-A3CB-FF0205DF5118}"/>
              </c:ext>
            </c:extLst>
          </c:dPt>
          <c:dPt>
            <c:idx val="2"/>
            <c:bubble3D val="0"/>
            <c:spPr>
              <a:solidFill>
                <a:srgbClr val="E9A23B"/>
              </a:solidFill>
              <a:ln w="0">
                <a:solidFill>
                  <a:srgbClr val="FFFFFF"/>
                </a:solidFill>
              </a:ln>
            </c:spPr>
            <c:extLst>
              <c:ext xmlns:c16="http://schemas.microsoft.com/office/drawing/2014/chart" uri="{C3380CC4-5D6E-409C-BE32-E72D297353CC}">
                <c16:uniqueId val="{00000005-9A5A-4115-A3CB-FF0205DF5118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1-9A5A-4115-A3CB-FF0205DF5118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3-9A5A-4115-A3CB-FF0205DF5118}"/>
                </c:ext>
              </c:extLst>
            </c:dLbl>
            <c:dLbl>
              <c:idx val="2"/>
              <c:spPr/>
              <c:txPr>
                <a:bodyPr wrap="square"/>
                <a:lstStyle/>
                <a:p>
                  <a:pPr>
                    <a:defRPr sz="900" b="1" strike="noStrike" spc="-1">
                      <a:solidFill>
                        <a:srgbClr val="FFFFFF"/>
                      </a:solidFill>
                      <a:latin typeface="Arial"/>
                    </a:defRPr>
                  </a:pPr>
                  <a:endParaRPr lang="en-US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1"/>
              <c:extLst>
                <c:ext xmlns:c16="http://schemas.microsoft.com/office/drawing/2014/chart" uri="{C3380CC4-5D6E-409C-BE32-E72D297353CC}">
                  <c16:uniqueId val="{00000005-9A5A-4115-A3CB-FF0205DF511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1" strike="noStrike" spc="-1">
                    <a:solidFill>
                      <a:srgbClr val="FFFFFF"/>
                    </a:solidFill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1"/>
            <c:separator>
</c:separator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Pivots!$A$16:$A$18</c:f>
              <c:strCache>
                <c:ptCount val="3"/>
                <c:pt idx="0">
                  <c:v>Condo</c:v>
                </c:pt>
                <c:pt idx="1">
                  <c:v>Single Family</c:v>
                </c:pt>
                <c:pt idx="2">
                  <c:v>Townhouse</c:v>
                </c:pt>
              </c:strCache>
            </c:strRef>
          </c:cat>
          <c:val>
            <c:numRef>
              <c:f>Pivots!$B$16:$B$18</c:f>
              <c:numCache>
                <c:formatCode>0</c:formatCode>
                <c:ptCount val="3"/>
                <c:pt idx="0">
                  <c:v>57</c:v>
                </c:pt>
                <c:pt idx="1">
                  <c:v>146</c:v>
                </c:pt>
                <c:pt idx="2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A5A-4115-A3CB-FF0205DF5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9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Sale Price Distribution (number of homes per price band)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Homes sold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Pivots!$A$66:$A$72</c:f>
              <c:strCache>
                <c:ptCount val="7"/>
                <c:pt idx="0">
                  <c:v>Under $200K</c:v>
                </c:pt>
                <c:pt idx="1">
                  <c:v>$200-300K</c:v>
                </c:pt>
                <c:pt idx="2">
                  <c:v>$300-400K</c:v>
                </c:pt>
                <c:pt idx="3">
                  <c:v>$400-500K</c:v>
                </c:pt>
                <c:pt idx="4">
                  <c:v>$500-600K</c:v>
                </c:pt>
                <c:pt idx="5">
                  <c:v>$600-800K</c:v>
                </c:pt>
                <c:pt idx="6">
                  <c:v>$800K+</c:v>
                </c:pt>
              </c:strCache>
            </c:strRef>
          </c:cat>
          <c:val>
            <c:numRef>
              <c:f>Pivots!$C$66:$C$72</c:f>
              <c:numCache>
                <c:formatCode>0</c:formatCode>
                <c:ptCount val="7"/>
                <c:pt idx="0">
                  <c:v>17</c:v>
                </c:pt>
                <c:pt idx="1">
                  <c:v>47</c:v>
                </c:pt>
                <c:pt idx="2">
                  <c:v>89</c:v>
                </c:pt>
                <c:pt idx="3">
                  <c:v>57</c:v>
                </c:pt>
                <c:pt idx="4">
                  <c:v>25</c:v>
                </c:pt>
                <c:pt idx="5">
                  <c:v>13</c:v>
                </c:pt>
                <c:pt idx="6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56-46CC-8FCF-E22EF3E11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"/>
        <c:axId val="75051559"/>
        <c:axId val="88956299"/>
      </c:barChart>
      <c:catAx>
        <c:axId val="7505155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8956299"/>
        <c:crosses val="autoZero"/>
        <c:auto val="1"/>
        <c:lblAlgn val="ctr"/>
        <c:lblOffset val="100"/>
        <c:noMultiLvlLbl val="0"/>
      </c:catAx>
      <c:valAx>
        <c:axId val="88956299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0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75051559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sz="1100" b="1" strike="noStrike" spc="-1">
                <a:solidFill>
                  <a:srgbClr val="1F3A5F"/>
                </a:solidFill>
                <a:latin typeface="Arial"/>
              </a:rPr>
              <a:t>Living Area vs. Sale Price (dashed = trend excl. outliers)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Sale</c:v>
          </c:tx>
          <c:spPr>
            <a:ln w="47520">
              <a:noFill/>
            </a:ln>
          </c:spPr>
          <c:marker>
            <c:symbol val="circle"/>
            <c:size val="5"/>
            <c:spPr>
              <a:solidFill>
                <a:srgbClr val="2A9D8F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Data_Clean!$G$2:$G$251</c:f>
              <c:numCache>
                <c:formatCode>#,##0;\(#,##0\);\-</c:formatCode>
                <c:ptCount val="250"/>
                <c:pt idx="0">
                  <c:v>1500</c:v>
                </c:pt>
                <c:pt idx="1">
                  <c:v>2370</c:v>
                </c:pt>
                <c:pt idx="2">
                  <c:v>1510</c:v>
                </c:pt>
                <c:pt idx="3">
                  <c:v>1880</c:v>
                </c:pt>
                <c:pt idx="4">
                  <c:v>1110</c:v>
                </c:pt>
                <c:pt idx="5">
                  <c:v>1510</c:v>
                </c:pt>
                <c:pt idx="6">
                  <c:v>780</c:v>
                </c:pt>
                <c:pt idx="7">
                  <c:v>1910</c:v>
                </c:pt>
                <c:pt idx="8">
                  <c:v>2360</c:v>
                </c:pt>
                <c:pt idx="9">
                  <c:v>1890</c:v>
                </c:pt>
                <c:pt idx="10">
                  <c:v>2220</c:v>
                </c:pt>
                <c:pt idx="11">
                  <c:v>2120</c:v>
                </c:pt>
                <c:pt idx="12">
                  <c:v>2260</c:v>
                </c:pt>
                <c:pt idx="13">
                  <c:v>1350</c:v>
                </c:pt>
                <c:pt idx="14">
                  <c:v>2010</c:v>
                </c:pt>
                <c:pt idx="15">
                  <c:v>1670</c:v>
                </c:pt>
                <c:pt idx="16">
                  <c:v>2050</c:v>
                </c:pt>
                <c:pt idx="17">
                  <c:v>2150</c:v>
                </c:pt>
                <c:pt idx="18">
                  <c:v>1470</c:v>
                </c:pt>
                <c:pt idx="19">
                  <c:v>1500</c:v>
                </c:pt>
                <c:pt idx="20">
                  <c:v>2050</c:v>
                </c:pt>
                <c:pt idx="21">
                  <c:v>1320</c:v>
                </c:pt>
                <c:pt idx="22">
                  <c:v>1720</c:v>
                </c:pt>
                <c:pt idx="23">
                  <c:v>1520</c:v>
                </c:pt>
                <c:pt idx="24">
                  <c:v>1940</c:v>
                </c:pt>
                <c:pt idx="25">
                  <c:v>1950</c:v>
                </c:pt>
                <c:pt idx="26">
                  <c:v>2260</c:v>
                </c:pt>
                <c:pt idx="27">
                  <c:v>940</c:v>
                </c:pt>
                <c:pt idx="28">
                  <c:v>2660</c:v>
                </c:pt>
                <c:pt idx="29">
                  <c:v>690</c:v>
                </c:pt>
                <c:pt idx="30">
                  <c:v>1200</c:v>
                </c:pt>
                <c:pt idx="31">
                  <c:v>1590</c:v>
                </c:pt>
                <c:pt idx="32">
                  <c:v>1550</c:v>
                </c:pt>
                <c:pt idx="33">
                  <c:v>1620</c:v>
                </c:pt>
                <c:pt idx="34">
                  <c:v>2580</c:v>
                </c:pt>
                <c:pt idx="35">
                  <c:v>1890</c:v>
                </c:pt>
                <c:pt idx="36">
                  <c:v>1070</c:v>
                </c:pt>
                <c:pt idx="37">
                  <c:v>6400</c:v>
                </c:pt>
                <c:pt idx="38">
                  <c:v>1640</c:v>
                </c:pt>
                <c:pt idx="39">
                  <c:v>2520</c:v>
                </c:pt>
                <c:pt idx="40">
                  <c:v>1880</c:v>
                </c:pt>
                <c:pt idx="41">
                  <c:v>1960</c:v>
                </c:pt>
                <c:pt idx="42">
                  <c:v>1960</c:v>
                </c:pt>
                <c:pt idx="43">
                  <c:v>1400</c:v>
                </c:pt>
                <c:pt idx="44">
                  <c:v>2230</c:v>
                </c:pt>
                <c:pt idx="45">
                  <c:v>940</c:v>
                </c:pt>
                <c:pt idx="46">
                  <c:v>2350</c:v>
                </c:pt>
                <c:pt idx="47">
                  <c:v>1860</c:v>
                </c:pt>
                <c:pt idx="48">
                  <c:v>2270</c:v>
                </c:pt>
                <c:pt idx="49">
                  <c:v>1240</c:v>
                </c:pt>
                <c:pt idx="50">
                  <c:v>2300</c:v>
                </c:pt>
                <c:pt idx="51">
                  <c:v>1240</c:v>
                </c:pt>
                <c:pt idx="52">
                  <c:v>1400</c:v>
                </c:pt>
                <c:pt idx="53">
                  <c:v>1600</c:v>
                </c:pt>
                <c:pt idx="54">
                  <c:v>1210</c:v>
                </c:pt>
                <c:pt idx="55">
                  <c:v>1820</c:v>
                </c:pt>
                <c:pt idx="56">
                  <c:v>2110</c:v>
                </c:pt>
                <c:pt idx="57">
                  <c:v>1940</c:v>
                </c:pt>
                <c:pt idx="58">
                  <c:v>1870</c:v>
                </c:pt>
                <c:pt idx="59">
                  <c:v>1040</c:v>
                </c:pt>
                <c:pt idx="60">
                  <c:v>1380</c:v>
                </c:pt>
                <c:pt idx="61">
                  <c:v>920</c:v>
                </c:pt>
                <c:pt idx="62">
                  <c:v>2150</c:v>
                </c:pt>
                <c:pt idx="63">
                  <c:v>2330</c:v>
                </c:pt>
                <c:pt idx="64">
                  <c:v>2480</c:v>
                </c:pt>
                <c:pt idx="65">
                  <c:v>2060</c:v>
                </c:pt>
                <c:pt idx="66">
                  <c:v>1440</c:v>
                </c:pt>
                <c:pt idx="67">
                  <c:v>2360</c:v>
                </c:pt>
                <c:pt idx="68">
                  <c:v>1480</c:v>
                </c:pt>
                <c:pt idx="69">
                  <c:v>1950</c:v>
                </c:pt>
                <c:pt idx="70">
                  <c:v>1600</c:v>
                </c:pt>
                <c:pt idx="71">
                  <c:v>1280</c:v>
                </c:pt>
                <c:pt idx="72">
                  <c:v>1790</c:v>
                </c:pt>
                <c:pt idx="73">
                  <c:v>1750</c:v>
                </c:pt>
                <c:pt idx="74">
                  <c:v>760</c:v>
                </c:pt>
                <c:pt idx="75">
                  <c:v>1790</c:v>
                </c:pt>
                <c:pt idx="76">
                  <c:v>1810</c:v>
                </c:pt>
                <c:pt idx="77">
                  <c:v>1890</c:v>
                </c:pt>
                <c:pt idx="78">
                  <c:v>1650</c:v>
                </c:pt>
                <c:pt idx="79">
                  <c:v>2290</c:v>
                </c:pt>
                <c:pt idx="80">
                  <c:v>2540</c:v>
                </c:pt>
                <c:pt idx="81">
                  <c:v>1330</c:v>
                </c:pt>
                <c:pt idx="82">
                  <c:v>1920</c:v>
                </c:pt>
                <c:pt idx="83">
                  <c:v>1650</c:v>
                </c:pt>
                <c:pt idx="84">
                  <c:v>1790</c:v>
                </c:pt>
                <c:pt idx="85">
                  <c:v>1750</c:v>
                </c:pt>
                <c:pt idx="86">
                  <c:v>520</c:v>
                </c:pt>
                <c:pt idx="87">
                  <c:v>1310</c:v>
                </c:pt>
                <c:pt idx="88">
                  <c:v>2010</c:v>
                </c:pt>
                <c:pt idx="89">
                  <c:v>1740</c:v>
                </c:pt>
                <c:pt idx="90">
                  <c:v>1750</c:v>
                </c:pt>
                <c:pt idx="91">
                  <c:v>1740</c:v>
                </c:pt>
                <c:pt idx="92">
                  <c:v>1280</c:v>
                </c:pt>
                <c:pt idx="93">
                  <c:v>1230</c:v>
                </c:pt>
                <c:pt idx="94">
                  <c:v>1350</c:v>
                </c:pt>
                <c:pt idx="95">
                  <c:v>1970</c:v>
                </c:pt>
                <c:pt idx="96">
                  <c:v>1580</c:v>
                </c:pt>
                <c:pt idx="97">
                  <c:v>2030</c:v>
                </c:pt>
                <c:pt idx="98">
                  <c:v>1530</c:v>
                </c:pt>
                <c:pt idx="99">
                  <c:v>2060</c:v>
                </c:pt>
                <c:pt idx="100">
                  <c:v>1360</c:v>
                </c:pt>
                <c:pt idx="101">
                  <c:v>1530</c:v>
                </c:pt>
                <c:pt idx="102">
                  <c:v>2630</c:v>
                </c:pt>
                <c:pt idx="103">
                  <c:v>2510</c:v>
                </c:pt>
                <c:pt idx="104">
                  <c:v>1940</c:v>
                </c:pt>
                <c:pt idx="105">
                  <c:v>2130</c:v>
                </c:pt>
                <c:pt idx="106">
                  <c:v>1840</c:v>
                </c:pt>
                <c:pt idx="107">
                  <c:v>2120</c:v>
                </c:pt>
                <c:pt idx="108">
                  <c:v>1040</c:v>
                </c:pt>
                <c:pt idx="109">
                  <c:v>1650</c:v>
                </c:pt>
                <c:pt idx="110">
                  <c:v>580</c:v>
                </c:pt>
                <c:pt idx="111">
                  <c:v>1910</c:v>
                </c:pt>
                <c:pt idx="112">
                  <c:v>1730</c:v>
                </c:pt>
                <c:pt idx="113">
                  <c:v>2280</c:v>
                </c:pt>
                <c:pt idx="114">
                  <c:v>1190</c:v>
                </c:pt>
                <c:pt idx="115">
                  <c:v>1800</c:v>
                </c:pt>
                <c:pt idx="116">
                  <c:v>1910</c:v>
                </c:pt>
                <c:pt idx="117">
                  <c:v>1570</c:v>
                </c:pt>
                <c:pt idx="118">
                  <c:v>1140</c:v>
                </c:pt>
                <c:pt idx="119">
                  <c:v>1390</c:v>
                </c:pt>
                <c:pt idx="120">
                  <c:v>1650</c:v>
                </c:pt>
                <c:pt idx="121">
                  <c:v>1720</c:v>
                </c:pt>
                <c:pt idx="122">
                  <c:v>2100</c:v>
                </c:pt>
                <c:pt idx="123">
                  <c:v>2660</c:v>
                </c:pt>
                <c:pt idx="124">
                  <c:v>1920</c:v>
                </c:pt>
                <c:pt idx="125">
                  <c:v>1720</c:v>
                </c:pt>
                <c:pt idx="126">
                  <c:v>1620</c:v>
                </c:pt>
                <c:pt idx="127">
                  <c:v>1070</c:v>
                </c:pt>
                <c:pt idx="128">
                  <c:v>970</c:v>
                </c:pt>
                <c:pt idx="129">
                  <c:v>1700</c:v>
                </c:pt>
                <c:pt idx="130">
                  <c:v>1760</c:v>
                </c:pt>
                <c:pt idx="131">
                  <c:v>590</c:v>
                </c:pt>
                <c:pt idx="132">
                  <c:v>2130</c:v>
                </c:pt>
                <c:pt idx="133">
                  <c:v>2230</c:v>
                </c:pt>
                <c:pt idx="134">
                  <c:v>1410</c:v>
                </c:pt>
                <c:pt idx="135">
                  <c:v>1890</c:v>
                </c:pt>
                <c:pt idx="136">
                  <c:v>1420</c:v>
                </c:pt>
                <c:pt idx="137">
                  <c:v>2830</c:v>
                </c:pt>
                <c:pt idx="138">
                  <c:v>1480</c:v>
                </c:pt>
                <c:pt idx="139">
                  <c:v>2490</c:v>
                </c:pt>
                <c:pt idx="140">
                  <c:v>1790</c:v>
                </c:pt>
                <c:pt idx="141">
                  <c:v>790</c:v>
                </c:pt>
                <c:pt idx="142">
                  <c:v>1190</c:v>
                </c:pt>
                <c:pt idx="143">
                  <c:v>1880</c:v>
                </c:pt>
                <c:pt idx="144">
                  <c:v>2910</c:v>
                </c:pt>
                <c:pt idx="145">
                  <c:v>2170</c:v>
                </c:pt>
                <c:pt idx="146">
                  <c:v>1690</c:v>
                </c:pt>
                <c:pt idx="147">
                  <c:v>920</c:v>
                </c:pt>
                <c:pt idx="148">
                  <c:v>1350</c:v>
                </c:pt>
                <c:pt idx="149">
                  <c:v>1760</c:v>
                </c:pt>
                <c:pt idx="150">
                  <c:v>660</c:v>
                </c:pt>
                <c:pt idx="151">
                  <c:v>1970</c:v>
                </c:pt>
                <c:pt idx="152">
                  <c:v>2580</c:v>
                </c:pt>
                <c:pt idx="153">
                  <c:v>1490</c:v>
                </c:pt>
                <c:pt idx="154">
                  <c:v>1470</c:v>
                </c:pt>
                <c:pt idx="155">
                  <c:v>2120</c:v>
                </c:pt>
                <c:pt idx="156">
                  <c:v>900</c:v>
                </c:pt>
                <c:pt idx="157">
                  <c:v>3100</c:v>
                </c:pt>
                <c:pt idx="158">
                  <c:v>2370</c:v>
                </c:pt>
                <c:pt idx="159">
                  <c:v>940</c:v>
                </c:pt>
                <c:pt idx="160">
                  <c:v>1600</c:v>
                </c:pt>
                <c:pt idx="161">
                  <c:v>2570</c:v>
                </c:pt>
                <c:pt idx="162">
                  <c:v>2580</c:v>
                </c:pt>
                <c:pt idx="163">
                  <c:v>900</c:v>
                </c:pt>
                <c:pt idx="164">
                  <c:v>2100</c:v>
                </c:pt>
                <c:pt idx="165">
                  <c:v>1740</c:v>
                </c:pt>
                <c:pt idx="166">
                  <c:v>1790</c:v>
                </c:pt>
                <c:pt idx="167">
                  <c:v>1630</c:v>
                </c:pt>
                <c:pt idx="168">
                  <c:v>1830</c:v>
                </c:pt>
                <c:pt idx="169">
                  <c:v>960</c:v>
                </c:pt>
                <c:pt idx="170">
                  <c:v>2870</c:v>
                </c:pt>
                <c:pt idx="171">
                  <c:v>1940</c:v>
                </c:pt>
                <c:pt idx="172">
                  <c:v>1580</c:v>
                </c:pt>
                <c:pt idx="173">
                  <c:v>1720</c:v>
                </c:pt>
                <c:pt idx="174">
                  <c:v>1360</c:v>
                </c:pt>
                <c:pt idx="175">
                  <c:v>2640</c:v>
                </c:pt>
                <c:pt idx="176">
                  <c:v>2090</c:v>
                </c:pt>
                <c:pt idx="177">
                  <c:v>2190</c:v>
                </c:pt>
                <c:pt idx="178">
                  <c:v>1910</c:v>
                </c:pt>
                <c:pt idx="179">
                  <c:v>1930</c:v>
                </c:pt>
                <c:pt idx="180">
                  <c:v>2300</c:v>
                </c:pt>
                <c:pt idx="181">
                  <c:v>1980</c:v>
                </c:pt>
                <c:pt idx="182">
                  <c:v>1330</c:v>
                </c:pt>
                <c:pt idx="183">
                  <c:v>1350</c:v>
                </c:pt>
                <c:pt idx="184">
                  <c:v>1870</c:v>
                </c:pt>
                <c:pt idx="185">
                  <c:v>1710</c:v>
                </c:pt>
                <c:pt idx="186">
                  <c:v>1770</c:v>
                </c:pt>
                <c:pt idx="187">
                  <c:v>750</c:v>
                </c:pt>
                <c:pt idx="188">
                  <c:v>2130</c:v>
                </c:pt>
                <c:pt idx="189">
                  <c:v>1110</c:v>
                </c:pt>
                <c:pt idx="190">
                  <c:v>1730</c:v>
                </c:pt>
                <c:pt idx="191">
                  <c:v>1260</c:v>
                </c:pt>
                <c:pt idx="192">
                  <c:v>1010</c:v>
                </c:pt>
                <c:pt idx="193">
                  <c:v>1390</c:v>
                </c:pt>
                <c:pt idx="194">
                  <c:v>1300</c:v>
                </c:pt>
                <c:pt idx="195">
                  <c:v>1600</c:v>
                </c:pt>
                <c:pt idx="196">
                  <c:v>910</c:v>
                </c:pt>
                <c:pt idx="197">
                  <c:v>1870</c:v>
                </c:pt>
                <c:pt idx="198">
                  <c:v>1310</c:v>
                </c:pt>
                <c:pt idx="199">
                  <c:v>1700</c:v>
                </c:pt>
                <c:pt idx="200">
                  <c:v>840</c:v>
                </c:pt>
                <c:pt idx="201">
                  <c:v>1770</c:v>
                </c:pt>
                <c:pt idx="202">
                  <c:v>1280</c:v>
                </c:pt>
                <c:pt idx="203">
                  <c:v>1780</c:v>
                </c:pt>
                <c:pt idx="204">
                  <c:v>2410</c:v>
                </c:pt>
                <c:pt idx="205">
                  <c:v>2350</c:v>
                </c:pt>
                <c:pt idx="206">
                  <c:v>1620</c:v>
                </c:pt>
                <c:pt idx="207">
                  <c:v>1970</c:v>
                </c:pt>
                <c:pt idx="208">
                  <c:v>1400</c:v>
                </c:pt>
                <c:pt idx="209">
                  <c:v>1770</c:v>
                </c:pt>
                <c:pt idx="210">
                  <c:v>2090</c:v>
                </c:pt>
                <c:pt idx="211">
                  <c:v>2140</c:v>
                </c:pt>
                <c:pt idx="212">
                  <c:v>1770</c:v>
                </c:pt>
                <c:pt idx="213">
                  <c:v>630</c:v>
                </c:pt>
                <c:pt idx="214">
                  <c:v>1650</c:v>
                </c:pt>
                <c:pt idx="215">
                  <c:v>1490</c:v>
                </c:pt>
                <c:pt idx="216">
                  <c:v>1380</c:v>
                </c:pt>
                <c:pt idx="217">
                  <c:v>1620</c:v>
                </c:pt>
                <c:pt idx="218">
                  <c:v>1750</c:v>
                </c:pt>
                <c:pt idx="219">
                  <c:v>1670</c:v>
                </c:pt>
                <c:pt idx="220">
                  <c:v>2300</c:v>
                </c:pt>
                <c:pt idx="221">
                  <c:v>1770</c:v>
                </c:pt>
                <c:pt idx="222">
                  <c:v>1010</c:v>
                </c:pt>
                <c:pt idx="223">
                  <c:v>1470</c:v>
                </c:pt>
                <c:pt idx="224">
                  <c:v>2000</c:v>
                </c:pt>
                <c:pt idx="225">
                  <c:v>840</c:v>
                </c:pt>
                <c:pt idx="226">
                  <c:v>2300</c:v>
                </c:pt>
                <c:pt idx="227">
                  <c:v>1760</c:v>
                </c:pt>
                <c:pt idx="228">
                  <c:v>1040</c:v>
                </c:pt>
                <c:pt idx="229">
                  <c:v>1280</c:v>
                </c:pt>
                <c:pt idx="230">
                  <c:v>1370</c:v>
                </c:pt>
                <c:pt idx="231">
                  <c:v>1630</c:v>
                </c:pt>
                <c:pt idx="232">
                  <c:v>1540</c:v>
                </c:pt>
                <c:pt idx="233">
                  <c:v>1380</c:v>
                </c:pt>
                <c:pt idx="234">
                  <c:v>1940</c:v>
                </c:pt>
                <c:pt idx="235">
                  <c:v>1770</c:v>
                </c:pt>
                <c:pt idx="236">
                  <c:v>1320</c:v>
                </c:pt>
                <c:pt idx="237">
                  <c:v>970</c:v>
                </c:pt>
                <c:pt idx="238">
                  <c:v>1530</c:v>
                </c:pt>
                <c:pt idx="239">
                  <c:v>1740</c:v>
                </c:pt>
                <c:pt idx="240">
                  <c:v>1990</c:v>
                </c:pt>
                <c:pt idx="241">
                  <c:v>1280</c:v>
                </c:pt>
                <c:pt idx="242">
                  <c:v>2260</c:v>
                </c:pt>
                <c:pt idx="243">
                  <c:v>2140</c:v>
                </c:pt>
                <c:pt idx="244">
                  <c:v>980</c:v>
                </c:pt>
                <c:pt idx="245">
                  <c:v>1740</c:v>
                </c:pt>
                <c:pt idx="246">
                  <c:v>1900</c:v>
                </c:pt>
                <c:pt idx="247">
                  <c:v>2680</c:v>
                </c:pt>
                <c:pt idx="248">
                  <c:v>1760</c:v>
                </c:pt>
                <c:pt idx="249">
                  <c:v>1130</c:v>
                </c:pt>
              </c:numCache>
            </c:numRef>
          </c:xVal>
          <c:yVal>
            <c:numRef>
              <c:f>Data_Clean!$M$2:$M$251</c:f>
              <c:numCache>
                <c:formatCode>\$#,##0;"($"#,##0\);\-</c:formatCode>
                <c:ptCount val="250"/>
                <c:pt idx="0">
                  <c:v>290000</c:v>
                </c:pt>
                <c:pt idx="1">
                  <c:v>451000</c:v>
                </c:pt>
                <c:pt idx="2">
                  <c:v>384000</c:v>
                </c:pt>
                <c:pt idx="3">
                  <c:v>442000</c:v>
                </c:pt>
                <c:pt idx="4">
                  <c:v>355000</c:v>
                </c:pt>
                <c:pt idx="5">
                  <c:v>358000</c:v>
                </c:pt>
                <c:pt idx="6">
                  <c:v>180000</c:v>
                </c:pt>
                <c:pt idx="7">
                  <c:v>239000</c:v>
                </c:pt>
                <c:pt idx="8">
                  <c:v>442000</c:v>
                </c:pt>
                <c:pt idx="9">
                  <c:v>411000</c:v>
                </c:pt>
                <c:pt idx="10">
                  <c:v>425000</c:v>
                </c:pt>
                <c:pt idx="11">
                  <c:v>450000</c:v>
                </c:pt>
                <c:pt idx="12">
                  <c:v>389000</c:v>
                </c:pt>
                <c:pt idx="13">
                  <c:v>359000</c:v>
                </c:pt>
                <c:pt idx="14">
                  <c:v>542000</c:v>
                </c:pt>
                <c:pt idx="15">
                  <c:v>298000</c:v>
                </c:pt>
                <c:pt idx="16">
                  <c:v>441000</c:v>
                </c:pt>
                <c:pt idx="17">
                  <c:v>342000</c:v>
                </c:pt>
                <c:pt idx="18">
                  <c:v>264000</c:v>
                </c:pt>
                <c:pt idx="19">
                  <c:v>403000</c:v>
                </c:pt>
                <c:pt idx="20">
                  <c:v>452000</c:v>
                </c:pt>
                <c:pt idx="21">
                  <c:v>239000</c:v>
                </c:pt>
                <c:pt idx="22">
                  <c:v>332000</c:v>
                </c:pt>
                <c:pt idx="23">
                  <c:v>334000</c:v>
                </c:pt>
                <c:pt idx="24">
                  <c:v>451000</c:v>
                </c:pt>
                <c:pt idx="25">
                  <c:v>377000</c:v>
                </c:pt>
                <c:pt idx="26">
                  <c:v>512000</c:v>
                </c:pt>
                <c:pt idx="27">
                  <c:v>177000</c:v>
                </c:pt>
                <c:pt idx="28">
                  <c:v>478000</c:v>
                </c:pt>
                <c:pt idx="29">
                  <c:v>131000</c:v>
                </c:pt>
                <c:pt idx="30">
                  <c:v>419000</c:v>
                </c:pt>
                <c:pt idx="31">
                  <c:v>352000</c:v>
                </c:pt>
                <c:pt idx="32">
                  <c:v>247000</c:v>
                </c:pt>
                <c:pt idx="33">
                  <c:v>333000</c:v>
                </c:pt>
                <c:pt idx="34">
                  <c:v>443000</c:v>
                </c:pt>
                <c:pt idx="35">
                  <c:v>334000</c:v>
                </c:pt>
                <c:pt idx="36">
                  <c:v>190000</c:v>
                </c:pt>
                <c:pt idx="37">
                  <c:v>3310000</c:v>
                </c:pt>
                <c:pt idx="38">
                  <c:v>489000</c:v>
                </c:pt>
                <c:pt idx="39">
                  <c:v>463000</c:v>
                </c:pt>
                <c:pt idx="40">
                  <c:v>513000</c:v>
                </c:pt>
                <c:pt idx="41">
                  <c:v>320000</c:v>
                </c:pt>
                <c:pt idx="42">
                  <c:v>392000</c:v>
                </c:pt>
                <c:pt idx="43">
                  <c:v>264000</c:v>
                </c:pt>
                <c:pt idx="44">
                  <c:v>487000</c:v>
                </c:pt>
                <c:pt idx="45">
                  <c:v>244000</c:v>
                </c:pt>
                <c:pt idx="46">
                  <c:v>548000</c:v>
                </c:pt>
                <c:pt idx="47">
                  <c:v>370000</c:v>
                </c:pt>
                <c:pt idx="48">
                  <c:v>697000</c:v>
                </c:pt>
                <c:pt idx="49">
                  <c:v>315000</c:v>
                </c:pt>
                <c:pt idx="50">
                  <c:v>636000</c:v>
                </c:pt>
                <c:pt idx="51">
                  <c:v>201000</c:v>
                </c:pt>
                <c:pt idx="52">
                  <c:v>214000</c:v>
                </c:pt>
                <c:pt idx="53">
                  <c:v>382000</c:v>
                </c:pt>
                <c:pt idx="54">
                  <c:v>280000</c:v>
                </c:pt>
                <c:pt idx="55">
                  <c:v>599000</c:v>
                </c:pt>
                <c:pt idx="56">
                  <c:v>590000</c:v>
                </c:pt>
                <c:pt idx="57">
                  <c:v>654000</c:v>
                </c:pt>
                <c:pt idx="58">
                  <c:v>496000</c:v>
                </c:pt>
                <c:pt idx="59">
                  <c:v>319000</c:v>
                </c:pt>
                <c:pt idx="60">
                  <c:v>373000</c:v>
                </c:pt>
                <c:pt idx="61">
                  <c:v>294000</c:v>
                </c:pt>
                <c:pt idx="62">
                  <c:v>596000</c:v>
                </c:pt>
                <c:pt idx="63">
                  <c:v>608000</c:v>
                </c:pt>
                <c:pt idx="64">
                  <c:v>596000</c:v>
                </c:pt>
                <c:pt idx="65">
                  <c:v>405000</c:v>
                </c:pt>
                <c:pt idx="66">
                  <c:v>336000</c:v>
                </c:pt>
                <c:pt idx="67">
                  <c:v>514000</c:v>
                </c:pt>
                <c:pt idx="68">
                  <c:v>238000</c:v>
                </c:pt>
                <c:pt idx="69">
                  <c:v>355000</c:v>
                </c:pt>
                <c:pt idx="70">
                  <c:v>317000</c:v>
                </c:pt>
                <c:pt idx="71">
                  <c:v>383000</c:v>
                </c:pt>
                <c:pt idx="72">
                  <c:v>355000</c:v>
                </c:pt>
                <c:pt idx="73">
                  <c:v>492000</c:v>
                </c:pt>
                <c:pt idx="74">
                  <c:v>198000</c:v>
                </c:pt>
                <c:pt idx="75">
                  <c:v>440000</c:v>
                </c:pt>
                <c:pt idx="76">
                  <c:v>466000</c:v>
                </c:pt>
                <c:pt idx="77">
                  <c:v>510000</c:v>
                </c:pt>
                <c:pt idx="78">
                  <c:v>278000</c:v>
                </c:pt>
                <c:pt idx="79">
                  <c:v>615000</c:v>
                </c:pt>
                <c:pt idx="80">
                  <c:v>510000</c:v>
                </c:pt>
                <c:pt idx="81">
                  <c:v>285000</c:v>
                </c:pt>
                <c:pt idx="82">
                  <c:v>509000</c:v>
                </c:pt>
                <c:pt idx="83">
                  <c:v>396000</c:v>
                </c:pt>
                <c:pt idx="84">
                  <c:v>386000</c:v>
                </c:pt>
                <c:pt idx="85">
                  <c:v>232000</c:v>
                </c:pt>
                <c:pt idx="86">
                  <c:v>119000</c:v>
                </c:pt>
                <c:pt idx="87">
                  <c:v>263000</c:v>
                </c:pt>
                <c:pt idx="88">
                  <c:v>501000</c:v>
                </c:pt>
                <c:pt idx="89">
                  <c:v>346000</c:v>
                </c:pt>
                <c:pt idx="90">
                  <c:v>259000</c:v>
                </c:pt>
                <c:pt idx="91">
                  <c:v>306000</c:v>
                </c:pt>
                <c:pt idx="92">
                  <c:v>365000</c:v>
                </c:pt>
                <c:pt idx="93">
                  <c:v>286000</c:v>
                </c:pt>
                <c:pt idx="94">
                  <c:v>295000</c:v>
                </c:pt>
                <c:pt idx="95">
                  <c:v>429000</c:v>
                </c:pt>
                <c:pt idx="96">
                  <c:v>317000</c:v>
                </c:pt>
                <c:pt idx="97">
                  <c:v>447000</c:v>
                </c:pt>
                <c:pt idx="98">
                  <c:v>340000</c:v>
                </c:pt>
                <c:pt idx="99">
                  <c:v>372000</c:v>
                </c:pt>
                <c:pt idx="100">
                  <c:v>289000</c:v>
                </c:pt>
                <c:pt idx="101">
                  <c:v>372000</c:v>
                </c:pt>
                <c:pt idx="102">
                  <c:v>485000</c:v>
                </c:pt>
                <c:pt idx="103">
                  <c:v>498000</c:v>
                </c:pt>
                <c:pt idx="104">
                  <c:v>373000</c:v>
                </c:pt>
                <c:pt idx="105">
                  <c:v>390000</c:v>
                </c:pt>
                <c:pt idx="106">
                  <c:v>514000</c:v>
                </c:pt>
                <c:pt idx="107">
                  <c:v>444000</c:v>
                </c:pt>
                <c:pt idx="108">
                  <c:v>332000</c:v>
                </c:pt>
                <c:pt idx="109">
                  <c:v>346000</c:v>
                </c:pt>
                <c:pt idx="110">
                  <c:v>131000</c:v>
                </c:pt>
                <c:pt idx="111">
                  <c:v>392000</c:v>
                </c:pt>
                <c:pt idx="112">
                  <c:v>361000</c:v>
                </c:pt>
                <c:pt idx="113">
                  <c:v>354000</c:v>
                </c:pt>
                <c:pt idx="114">
                  <c:v>234000</c:v>
                </c:pt>
                <c:pt idx="115">
                  <c:v>395000</c:v>
                </c:pt>
                <c:pt idx="116">
                  <c:v>450000</c:v>
                </c:pt>
                <c:pt idx="117">
                  <c:v>371000</c:v>
                </c:pt>
                <c:pt idx="118">
                  <c:v>364000</c:v>
                </c:pt>
                <c:pt idx="119">
                  <c:v>308000</c:v>
                </c:pt>
                <c:pt idx="120">
                  <c:v>474000</c:v>
                </c:pt>
                <c:pt idx="121">
                  <c:v>434000</c:v>
                </c:pt>
                <c:pt idx="122">
                  <c:v>422000</c:v>
                </c:pt>
                <c:pt idx="123">
                  <c:v>568000</c:v>
                </c:pt>
                <c:pt idx="124">
                  <c:v>525000</c:v>
                </c:pt>
                <c:pt idx="125">
                  <c:v>355000</c:v>
                </c:pt>
                <c:pt idx="126">
                  <c:v>435000</c:v>
                </c:pt>
                <c:pt idx="127">
                  <c:v>157000</c:v>
                </c:pt>
                <c:pt idx="128">
                  <c:v>254000</c:v>
                </c:pt>
                <c:pt idx="129">
                  <c:v>432000</c:v>
                </c:pt>
                <c:pt idx="130">
                  <c:v>409000</c:v>
                </c:pt>
                <c:pt idx="131">
                  <c:v>199000</c:v>
                </c:pt>
                <c:pt idx="132">
                  <c:v>663000</c:v>
                </c:pt>
                <c:pt idx="133">
                  <c:v>435000</c:v>
                </c:pt>
                <c:pt idx="134">
                  <c:v>368000</c:v>
                </c:pt>
                <c:pt idx="135">
                  <c:v>552000</c:v>
                </c:pt>
                <c:pt idx="136">
                  <c:v>259000</c:v>
                </c:pt>
                <c:pt idx="137">
                  <c:v>637000</c:v>
                </c:pt>
                <c:pt idx="138">
                  <c:v>395000</c:v>
                </c:pt>
                <c:pt idx="139">
                  <c:v>327000</c:v>
                </c:pt>
                <c:pt idx="140">
                  <c:v>274000</c:v>
                </c:pt>
                <c:pt idx="141">
                  <c:v>146000</c:v>
                </c:pt>
                <c:pt idx="142">
                  <c:v>322000</c:v>
                </c:pt>
                <c:pt idx="143">
                  <c:v>329000</c:v>
                </c:pt>
                <c:pt idx="144">
                  <c:v>611000</c:v>
                </c:pt>
                <c:pt idx="145">
                  <c:v>369000</c:v>
                </c:pt>
                <c:pt idx="146">
                  <c:v>401000</c:v>
                </c:pt>
                <c:pt idx="147">
                  <c:v>174000</c:v>
                </c:pt>
                <c:pt idx="148">
                  <c:v>301000</c:v>
                </c:pt>
                <c:pt idx="149">
                  <c:v>444000</c:v>
                </c:pt>
                <c:pt idx="150">
                  <c:v>189000</c:v>
                </c:pt>
                <c:pt idx="151">
                  <c:v>449000</c:v>
                </c:pt>
                <c:pt idx="152">
                  <c:v>546000</c:v>
                </c:pt>
                <c:pt idx="153">
                  <c:v>428000</c:v>
                </c:pt>
                <c:pt idx="154">
                  <c:v>472000</c:v>
                </c:pt>
                <c:pt idx="155">
                  <c:v>338000</c:v>
                </c:pt>
                <c:pt idx="156">
                  <c:v>284000</c:v>
                </c:pt>
                <c:pt idx="157">
                  <c:v>619000</c:v>
                </c:pt>
                <c:pt idx="158">
                  <c:v>521000</c:v>
                </c:pt>
                <c:pt idx="159">
                  <c:v>278000</c:v>
                </c:pt>
                <c:pt idx="160">
                  <c:v>317000</c:v>
                </c:pt>
                <c:pt idx="161">
                  <c:v>528000</c:v>
                </c:pt>
                <c:pt idx="162">
                  <c:v>519000</c:v>
                </c:pt>
                <c:pt idx="163">
                  <c:v>230000</c:v>
                </c:pt>
                <c:pt idx="164">
                  <c:v>315000</c:v>
                </c:pt>
                <c:pt idx="165">
                  <c:v>294000</c:v>
                </c:pt>
                <c:pt idx="166">
                  <c:v>493000</c:v>
                </c:pt>
                <c:pt idx="167">
                  <c:v>293000</c:v>
                </c:pt>
                <c:pt idx="168">
                  <c:v>446000</c:v>
                </c:pt>
                <c:pt idx="169">
                  <c:v>316000</c:v>
                </c:pt>
                <c:pt idx="170">
                  <c:v>777000</c:v>
                </c:pt>
                <c:pt idx="171">
                  <c:v>503000</c:v>
                </c:pt>
                <c:pt idx="172">
                  <c:v>262000</c:v>
                </c:pt>
                <c:pt idx="173">
                  <c:v>292000</c:v>
                </c:pt>
                <c:pt idx="174">
                  <c:v>381000</c:v>
                </c:pt>
                <c:pt idx="175">
                  <c:v>436000</c:v>
                </c:pt>
                <c:pt idx="176">
                  <c:v>339000</c:v>
                </c:pt>
                <c:pt idx="177">
                  <c:v>638000</c:v>
                </c:pt>
                <c:pt idx="178">
                  <c:v>473000</c:v>
                </c:pt>
                <c:pt idx="179">
                  <c:v>490000</c:v>
                </c:pt>
                <c:pt idx="180">
                  <c:v>519000</c:v>
                </c:pt>
                <c:pt idx="181">
                  <c:v>317000</c:v>
                </c:pt>
                <c:pt idx="182">
                  <c:v>302000</c:v>
                </c:pt>
                <c:pt idx="183">
                  <c:v>312000</c:v>
                </c:pt>
                <c:pt idx="184">
                  <c:v>514000</c:v>
                </c:pt>
                <c:pt idx="185">
                  <c:v>346000</c:v>
                </c:pt>
                <c:pt idx="186">
                  <c:v>338000</c:v>
                </c:pt>
                <c:pt idx="187">
                  <c:v>215000</c:v>
                </c:pt>
                <c:pt idx="188">
                  <c:v>642000</c:v>
                </c:pt>
                <c:pt idx="189">
                  <c:v>274000</c:v>
                </c:pt>
                <c:pt idx="190">
                  <c:v>344000</c:v>
                </c:pt>
                <c:pt idx="191">
                  <c:v>342000</c:v>
                </c:pt>
                <c:pt idx="192">
                  <c:v>265000</c:v>
                </c:pt>
                <c:pt idx="193">
                  <c:v>419000</c:v>
                </c:pt>
                <c:pt idx="194">
                  <c:v>335000</c:v>
                </c:pt>
                <c:pt idx="195">
                  <c:v>328000</c:v>
                </c:pt>
                <c:pt idx="196">
                  <c:v>194000</c:v>
                </c:pt>
                <c:pt idx="197">
                  <c:v>306000</c:v>
                </c:pt>
                <c:pt idx="198">
                  <c:v>234000</c:v>
                </c:pt>
                <c:pt idx="199">
                  <c:v>367000</c:v>
                </c:pt>
                <c:pt idx="200">
                  <c:v>164000</c:v>
                </c:pt>
                <c:pt idx="201">
                  <c:v>407000</c:v>
                </c:pt>
                <c:pt idx="202">
                  <c:v>476000</c:v>
                </c:pt>
                <c:pt idx="203">
                  <c:v>294000</c:v>
                </c:pt>
                <c:pt idx="204">
                  <c:v>654000</c:v>
                </c:pt>
                <c:pt idx="205">
                  <c:v>414000</c:v>
                </c:pt>
                <c:pt idx="206">
                  <c:v>297000</c:v>
                </c:pt>
                <c:pt idx="207">
                  <c:v>367000</c:v>
                </c:pt>
                <c:pt idx="208">
                  <c:v>302000</c:v>
                </c:pt>
                <c:pt idx="209">
                  <c:v>355000</c:v>
                </c:pt>
                <c:pt idx="210">
                  <c:v>375000</c:v>
                </c:pt>
                <c:pt idx="211">
                  <c:v>464000</c:v>
                </c:pt>
                <c:pt idx="212">
                  <c:v>388000</c:v>
                </c:pt>
                <c:pt idx="213">
                  <c:v>116000</c:v>
                </c:pt>
                <c:pt idx="214">
                  <c:v>432000</c:v>
                </c:pt>
                <c:pt idx="215">
                  <c:v>234000</c:v>
                </c:pt>
                <c:pt idx="216">
                  <c:v>202000</c:v>
                </c:pt>
                <c:pt idx="217">
                  <c:v>364000</c:v>
                </c:pt>
                <c:pt idx="218">
                  <c:v>385000</c:v>
                </c:pt>
                <c:pt idx="219">
                  <c:v>435000</c:v>
                </c:pt>
                <c:pt idx="220">
                  <c:v>536000</c:v>
                </c:pt>
                <c:pt idx="221">
                  <c:v>374000</c:v>
                </c:pt>
                <c:pt idx="222">
                  <c:v>310000</c:v>
                </c:pt>
                <c:pt idx="223">
                  <c:v>357000</c:v>
                </c:pt>
                <c:pt idx="224">
                  <c:v>470000</c:v>
                </c:pt>
                <c:pt idx="225">
                  <c:v>139000</c:v>
                </c:pt>
                <c:pt idx="226">
                  <c:v>457000</c:v>
                </c:pt>
                <c:pt idx="227">
                  <c:v>387000</c:v>
                </c:pt>
                <c:pt idx="228">
                  <c:v>209000</c:v>
                </c:pt>
                <c:pt idx="229">
                  <c:v>227000</c:v>
                </c:pt>
                <c:pt idx="230">
                  <c:v>284000</c:v>
                </c:pt>
                <c:pt idx="231">
                  <c:v>343000</c:v>
                </c:pt>
                <c:pt idx="232">
                  <c:v>310000</c:v>
                </c:pt>
                <c:pt idx="233">
                  <c:v>196000</c:v>
                </c:pt>
                <c:pt idx="234">
                  <c:v>352000</c:v>
                </c:pt>
                <c:pt idx="235">
                  <c:v>303000</c:v>
                </c:pt>
                <c:pt idx="236">
                  <c:v>425000</c:v>
                </c:pt>
                <c:pt idx="237">
                  <c:v>215000</c:v>
                </c:pt>
                <c:pt idx="238">
                  <c:v>358000</c:v>
                </c:pt>
                <c:pt idx="239">
                  <c:v>274000</c:v>
                </c:pt>
                <c:pt idx="240">
                  <c:v>358000</c:v>
                </c:pt>
                <c:pt idx="241">
                  <c:v>445000</c:v>
                </c:pt>
                <c:pt idx="242">
                  <c:v>449000</c:v>
                </c:pt>
                <c:pt idx="243">
                  <c:v>494000</c:v>
                </c:pt>
                <c:pt idx="244">
                  <c:v>250000</c:v>
                </c:pt>
                <c:pt idx="245">
                  <c:v>301000</c:v>
                </c:pt>
                <c:pt idx="246">
                  <c:v>364000</c:v>
                </c:pt>
                <c:pt idx="247">
                  <c:v>843000</c:v>
                </c:pt>
                <c:pt idx="248">
                  <c:v>355000</c:v>
                </c:pt>
                <c:pt idx="249">
                  <c:v>256000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37C-4631-8AED-5B771189BD45}"/>
            </c:ext>
          </c:extLst>
        </c:ser>
        <c:ser>
          <c:idx val="1"/>
          <c:order val="1"/>
          <c:tx>
            <c:v>Trend (outliers excluded)</c:v>
          </c:tx>
          <c:spPr>
            <a:ln w="28440">
              <a:solidFill>
                <a:srgbClr val="E76F51"/>
              </a:solidFill>
              <a:prstDash val="dash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xVal>
            <c:numRef>
              <c:f>Analysis!$B$52:$B$53</c:f>
              <c:numCache>
                <c:formatCode>#,##0</c:formatCode>
                <c:ptCount val="2"/>
                <c:pt idx="0">
                  <c:v>500</c:v>
                </c:pt>
                <c:pt idx="1">
                  <c:v>3500</c:v>
                </c:pt>
              </c:numCache>
            </c:numRef>
          </c:xVal>
          <c:yVal>
            <c:numRef>
              <c:f>Analysis!$C$52:$C$53</c:f>
              <c:numCache>
                <c:formatCode>\$#,##0</c:formatCode>
                <c:ptCount val="2"/>
                <c:pt idx="0">
                  <c:v>154081.01343479427</c:v>
                </c:pt>
                <c:pt idx="1">
                  <c:v>704686.21280568326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37C-4631-8AED-5B771189BD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2783194"/>
        <c:axId val="97728188"/>
      </c:scatterChart>
      <c:valAx>
        <c:axId val="72783194"/>
        <c:scaling>
          <c:orientation val="minMax"/>
          <c:max val="4000"/>
          <c:min val="0"/>
        </c:scaling>
        <c:delete val="0"/>
        <c:axPos val="b"/>
        <c:title>
          <c:tx>
            <c:rich>
              <a:bodyPr rot="0"/>
              <a:lstStyle/>
              <a:p>
                <a:pPr>
                  <a:defRPr sz="800" b="0" strike="noStrike" spc="-1">
                    <a:solidFill>
                      <a:srgbClr val="5B6675"/>
                    </a:solidFill>
                    <a:latin typeface="Arial"/>
                  </a:defRPr>
                </a:pPr>
                <a:r>
                  <a:rPr sz="800" b="0" strike="noStrike" spc="-1">
                    <a:solidFill>
                      <a:srgbClr val="5B6675"/>
                    </a:solidFill>
                    <a:latin typeface="Arial"/>
                  </a:rPr>
                  <a:t>Living area (sq ft) — 1 luxury outlier at 6,400 sq ft is off-scale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0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97728188"/>
        <c:crosses val="autoZero"/>
        <c:crossBetween val="midCat"/>
      </c:valAx>
      <c:valAx>
        <c:axId val="97728188"/>
        <c:scaling>
          <c:orientation val="minMax"/>
          <c:max val="1000000"/>
          <c:min val="0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72783194"/>
        <c:crosses val="autoZero"/>
        <c:crossBetween val="midCat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Sale Price by Condition (Average vs. Median)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v>Average</c:v>
          </c:tx>
          <c:spPr>
            <a:solidFill>
              <a:srgbClr val="1F3A5F"/>
            </a:solidFill>
            <a:ln w="0">
              <a:solidFill>
                <a:srgbClr val="1F3A5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0" strike="noStrike" spc="-1">
                    <a:solidFill>
                      <a:srgbClr val="44546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Pivots!$A$23:$A$26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Pivots!$E$23:$E$26</c:f>
              <c:numCache>
                <c:formatCode>\$#,##0</c:formatCode>
                <c:ptCount val="4"/>
                <c:pt idx="0">
                  <c:v>458951.61290322582</c:v>
                </c:pt>
                <c:pt idx="1">
                  <c:v>372628.57142857142</c:v>
                </c:pt>
                <c:pt idx="2">
                  <c:v>360083.33333333331</c:v>
                </c:pt>
                <c:pt idx="3">
                  <c:v>317818.18181818182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A1-4AFA-A733-8157B019A454}"/>
            </c:ext>
          </c:extLst>
        </c:ser>
        <c:ser>
          <c:idx val="1"/>
          <c:order val="1"/>
          <c:tx>
            <c:v>Median</c:v>
          </c:tx>
          <c:spPr>
            <a:solidFill>
              <a:srgbClr val="E9A23B"/>
            </a:solidFill>
            <a:ln w="0">
              <a:solidFill>
                <a:srgbClr val="E9A23B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700" b="0" strike="noStrike" spc="-1">
                    <a:solidFill>
                      <a:srgbClr val="44546A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Pivots!$A$23:$A$26</c:f>
              <c:strCache>
                <c:ptCount val="4"/>
                <c:pt idx="0">
                  <c:v>Excellent</c:v>
                </c:pt>
                <c:pt idx="1">
                  <c:v>Good</c:v>
                </c:pt>
                <c:pt idx="2">
                  <c:v>Fair</c:v>
                </c:pt>
                <c:pt idx="3">
                  <c:v>Poor</c:v>
                </c:pt>
              </c:strCache>
            </c:strRef>
          </c:cat>
          <c:val>
            <c:numRef>
              <c:f>Pivots!$F$23:$F$26</c:f>
              <c:numCache>
                <c:formatCode>\$#,##0</c:formatCode>
                <c:ptCount val="4"/>
                <c:pt idx="0">
                  <c:v>405000</c:v>
                </c:pt>
                <c:pt idx="1">
                  <c:v>364000</c:v>
                </c:pt>
                <c:pt idx="2">
                  <c:v>346000</c:v>
                </c:pt>
                <c:pt idx="3">
                  <c:v>315000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A1-4AFA-A733-8157B019A4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overlap val="-5"/>
        <c:axId val="77790325"/>
        <c:axId val="83257351"/>
      </c:barChart>
      <c:catAx>
        <c:axId val="7779032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3257351"/>
        <c:crosses val="autoZero"/>
        <c:auto val="1"/>
        <c:lblAlgn val="ctr"/>
        <c:lblOffset val="100"/>
        <c:noMultiLvlLbl val="0"/>
      </c:catAx>
      <c:valAx>
        <c:axId val="83257351"/>
        <c:scaling>
          <c:orientation val="minMax"/>
        </c:scaling>
        <c:delete val="0"/>
        <c:axPos val="b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77790325"/>
        <c:crosses val="max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800" b="0" strike="noStrike" spc="-1">
              <a:solidFill>
                <a:srgbClr val="44546A"/>
              </a:solidFill>
              <a:latin typeface="Arial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100" b="1" strike="noStrike" spc="-1">
                <a:solidFill>
                  <a:srgbClr val="1F3A5F"/>
                </a:solidFill>
                <a:latin typeface="Arial"/>
              </a:defRPr>
            </a:pPr>
            <a:r>
              <a:rPr lang="en-IN" sz="1100" b="1" strike="noStrike" spc="-1">
                <a:solidFill>
                  <a:srgbClr val="1F3A5F"/>
                </a:solidFill>
                <a:latin typeface="Arial"/>
              </a:rPr>
              <a:t>Average Sale Price by Bedrooms (1-5 BR)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Avg price</c:v>
          </c:tx>
          <c:spPr>
            <a:solidFill>
              <a:srgbClr val="2A9D8F"/>
            </a:solidFill>
            <a:ln w="0">
              <a:solidFill>
                <a:srgbClr val="2A9D8F"/>
              </a:solidFill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800" b="1" strike="noStrike" spc="-1">
                    <a:solidFill>
                      <a:srgbClr val="1F3A5F"/>
                    </a:solidFill>
                    <a:latin typeface="Arial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Pivots!$A$32:$A$36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cat>
          <c:val>
            <c:numRef>
              <c:f>Pivots!$E$32:$E$36</c:f>
              <c:numCache>
                <c:formatCode>\$#,##0</c:formatCode>
                <c:ptCount val="5"/>
                <c:pt idx="0">
                  <c:v>222185.1851851852</c:v>
                </c:pt>
                <c:pt idx="1">
                  <c:v>302431.37254901958</c:v>
                </c:pt>
                <c:pt idx="2">
                  <c:v>380393.61702127662</c:v>
                </c:pt>
                <c:pt idx="3">
                  <c:v>448581.81818181818</c:v>
                </c:pt>
                <c:pt idx="4">
                  <c:v>565363.63636363635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BA7-4EEF-8117-C1B9211A2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0"/>
        <c:axId val="9175467"/>
        <c:axId val="87804014"/>
      </c:barChart>
      <c:catAx>
        <c:axId val="917546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800" b="0" strike="noStrike" spc="-1">
                    <a:solidFill>
                      <a:srgbClr val="5B6675"/>
                    </a:solidFill>
                    <a:latin typeface="Arial"/>
                  </a:defRPr>
                </a:pPr>
                <a:r>
                  <a:rPr lang="en-IN" sz="800" b="0" strike="noStrike" spc="-1">
                    <a:solidFill>
                      <a:srgbClr val="5B6675"/>
                    </a:solidFill>
                    <a:latin typeface="Arial"/>
                  </a:rPr>
                  <a:t>Bedrooms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BFC7D5"/>
            </a:solidFill>
            <a:round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87804014"/>
        <c:crosses val="autoZero"/>
        <c:auto val="1"/>
        <c:lblAlgn val="ctr"/>
        <c:lblOffset val="100"/>
        <c:noMultiLvlLbl val="0"/>
      </c:catAx>
      <c:valAx>
        <c:axId val="87804014"/>
        <c:scaling>
          <c:orientation val="minMax"/>
        </c:scaling>
        <c:delete val="0"/>
        <c:axPos val="l"/>
        <c:majorGridlines>
          <c:spPr>
            <a:ln w="9360">
              <a:solidFill>
                <a:srgbClr val="E5E7EB"/>
              </a:solidFill>
              <a:round/>
            </a:ln>
          </c:spPr>
        </c:majorGridlines>
        <c:numFmt formatCode="\$#,##0,\K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800" b="0" strike="noStrike" spc="-1">
                <a:solidFill>
                  <a:srgbClr val="44546A"/>
                </a:solidFill>
                <a:latin typeface="Arial"/>
              </a:defRPr>
            </a:pPr>
            <a:endParaRPr lang="en-US"/>
          </a:p>
        </c:txPr>
        <c:crossAx val="917546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EE7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</xdr:row>
      <xdr:rowOff>0</xdr:rowOff>
    </xdr:from>
    <xdr:to>
      <xdr:col>12</xdr:col>
      <xdr:colOff>792360</xdr:colOff>
      <xdr:row>33</xdr:row>
      <xdr:rowOff>94320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0</xdr:colOff>
      <xdr:row>36</xdr:row>
      <xdr:rowOff>0</xdr:rowOff>
    </xdr:from>
    <xdr:to>
      <xdr:col>6</xdr:col>
      <xdr:colOff>818280</xdr:colOff>
      <xdr:row>51</xdr:row>
      <xdr:rowOff>93960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7</xdr:col>
      <xdr:colOff>0</xdr:colOff>
      <xdr:row>36</xdr:row>
      <xdr:rowOff>0</xdr:rowOff>
    </xdr:from>
    <xdr:to>
      <xdr:col>12</xdr:col>
      <xdr:colOff>817920</xdr:colOff>
      <xdr:row>51</xdr:row>
      <xdr:rowOff>93960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</xdr:col>
      <xdr:colOff>0</xdr:colOff>
      <xdr:row>54</xdr:row>
      <xdr:rowOff>0</xdr:rowOff>
    </xdr:from>
    <xdr:to>
      <xdr:col>6</xdr:col>
      <xdr:colOff>818280</xdr:colOff>
      <xdr:row>69</xdr:row>
      <xdr:rowOff>93960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0</xdr:colOff>
      <xdr:row>54</xdr:row>
      <xdr:rowOff>0</xdr:rowOff>
    </xdr:from>
    <xdr:to>
      <xdr:col>12</xdr:col>
      <xdr:colOff>817920</xdr:colOff>
      <xdr:row>69</xdr:row>
      <xdr:rowOff>93960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</xdr:col>
      <xdr:colOff>0</xdr:colOff>
      <xdr:row>72</xdr:row>
      <xdr:rowOff>0</xdr:rowOff>
    </xdr:from>
    <xdr:to>
      <xdr:col>6</xdr:col>
      <xdr:colOff>818280</xdr:colOff>
      <xdr:row>87</xdr:row>
      <xdr:rowOff>93960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7</xdr:col>
      <xdr:colOff>0</xdr:colOff>
      <xdr:row>72</xdr:row>
      <xdr:rowOff>0</xdr:rowOff>
    </xdr:from>
    <xdr:to>
      <xdr:col>12</xdr:col>
      <xdr:colOff>817920</xdr:colOff>
      <xdr:row>87</xdr:row>
      <xdr:rowOff>93960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 editAs="oneCell">
    <xdr:from>
      <xdr:col>1</xdr:col>
      <xdr:colOff>0</xdr:colOff>
      <xdr:row>90</xdr:row>
      <xdr:rowOff>0</xdr:rowOff>
    </xdr:from>
    <xdr:to>
      <xdr:col>6</xdr:col>
      <xdr:colOff>818280</xdr:colOff>
      <xdr:row>100</xdr:row>
      <xdr:rowOff>46440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758520</xdr:colOff>
      <xdr:row>25</xdr:row>
      <xdr:rowOff>119520</xdr:rowOff>
    </xdr:to>
    <xdr:graphicFrame macro="">
      <xdr:nvGraphicFramePr>
        <xdr:cNvPr id="8" name="Chart 1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758520</xdr:colOff>
      <xdr:row>25</xdr:row>
      <xdr:rowOff>119520</xdr:rowOff>
    </xdr:to>
    <xdr:graphicFrame macro="">
      <xdr:nvGraphicFramePr>
        <xdr:cNvPr id="9" name="Chart 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758520</xdr:colOff>
      <xdr:row>25</xdr:row>
      <xdr:rowOff>119520</xdr:rowOff>
    </xdr:to>
    <xdr:graphicFrame macro="">
      <xdr:nvGraphicFramePr>
        <xdr:cNvPr id="10" name="Chart 1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758520</xdr:colOff>
      <xdr:row>25</xdr:row>
      <xdr:rowOff>119520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id="{00000000-0008-0000-0400-00000B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758520</xdr:colOff>
      <xdr:row>25</xdr:row>
      <xdr:rowOff>119520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id="{00000000-0008-0000-05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758520</xdr:colOff>
      <xdr:row>25</xdr:row>
      <xdr:rowOff>119520</xdr:rowOff>
    </xdr:to>
    <xdr:graphicFrame macro="">
      <xdr:nvGraphicFramePr>
        <xdr:cNvPr id="13" name="Chart 1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758520</xdr:colOff>
      <xdr:row>25</xdr:row>
      <xdr:rowOff>119520</xdr:rowOff>
    </xdr:to>
    <xdr:graphicFrame macro="">
      <xdr:nvGraphicFramePr>
        <xdr:cNvPr id="14" name="Chart 1">
          <a:extLst>
            <a:ext uri="{FF2B5EF4-FFF2-40B4-BE49-F238E27FC236}">
              <a16:creationId xmlns:a16="http://schemas.microsoft.com/office/drawing/2014/main" id="{00000000-0008-0000-07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</xdr:row>
      <xdr:rowOff>0</xdr:rowOff>
    </xdr:from>
    <xdr:to>
      <xdr:col>6</xdr:col>
      <xdr:colOff>758520</xdr:colOff>
      <xdr:row>25</xdr:row>
      <xdr:rowOff>119520</xdr:rowOff>
    </xdr:to>
    <xdr:graphicFrame macro="">
      <xdr:nvGraphicFramePr>
        <xdr:cNvPr id="15" name="Chart 1">
          <a:extLst>
            <a:ext uri="{FF2B5EF4-FFF2-40B4-BE49-F238E27FC236}">
              <a16:creationId xmlns:a16="http://schemas.microsoft.com/office/drawing/2014/main" id="{00000000-0008-0000-0800-00000F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Sales" displayName="tblSales" ref="A1:X251" totalsRowShown="0">
  <autoFilter ref="A1:X251" xr:uid="{00000000-0009-0000-0100-000001000000}"/>
  <tableColumns count="24">
    <tableColumn id="1" xr3:uid="{00000000-0010-0000-0000-000001000000}" name="sale_id"/>
    <tableColumn id="2" xr3:uid="{00000000-0010-0000-0000-000002000000}" name="sale_date"/>
    <tableColumn id="3" xr3:uid="{00000000-0010-0000-0000-000003000000}" name="neighborhood"/>
    <tableColumn id="4" xr3:uid="{00000000-0010-0000-0000-000004000000}" name="property_type"/>
    <tableColumn id="5" xr3:uid="{00000000-0010-0000-0000-000005000000}" name="bedrooms"/>
    <tableColumn id="6" xr3:uid="{00000000-0010-0000-0000-000006000000}" name="bathrooms"/>
    <tableColumn id="7" xr3:uid="{00000000-0010-0000-0000-000007000000}" name="sqft"/>
    <tableColumn id="8" xr3:uid="{00000000-0010-0000-0000-000008000000}" name="lot_size_sqft"/>
    <tableColumn id="9" xr3:uid="{00000000-0010-0000-0000-000009000000}" name="year_built"/>
    <tableColumn id="10" xr3:uid="{00000000-0010-0000-0000-00000A000000}" name="garage_spaces"/>
    <tableColumn id="11" xr3:uid="{00000000-0010-0000-0000-00000B000000}" name="condition"/>
    <tableColumn id="12" xr3:uid="{00000000-0010-0000-0000-00000C000000}" name="list_price"/>
    <tableColumn id="13" xr3:uid="{00000000-0010-0000-0000-00000D000000}" name="sale_price"/>
    <tableColumn id="14" xr3:uid="{00000000-0010-0000-0000-00000E000000}" name="days_on_market"/>
    <tableColumn id="15" xr3:uid="{00000000-0010-0000-0000-00000F000000}" name="agent_commission_pct"/>
    <tableColumn id="16" xr3:uid="{00000000-0010-0000-0000-000010000000}" name="sale_month"/>
    <tableColumn id="17" xr3:uid="{00000000-0010-0000-0000-000011000000}" name="price_per_sqft"/>
    <tableColumn id="18" xr3:uid="{00000000-0010-0000-0000-000012000000}" name="sale_to_list"/>
    <tableColumn id="19" xr3:uid="{00000000-0010-0000-0000-000013000000}" name="price_vs_list"/>
    <tableColumn id="20" xr3:uid="{00000000-0010-0000-0000-000014000000}" name="commission_usd"/>
    <tableColumn id="21" xr3:uid="{00000000-0010-0000-0000-000015000000}" name="home_age_at_sale"/>
    <tableColumn id="22" xr3:uid="{00000000-0010-0000-0000-000016000000}" name="price_band"/>
    <tableColumn id="23" xr3:uid="{00000000-0010-0000-0000-000017000000}" name="outlier_flag"/>
    <tableColumn id="24" xr3:uid="{00000000-0010-0000-0000-000018000000}" name="cleaning_notes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A9D8F"/>
  </sheetPr>
  <dimension ref="A1:M111"/>
  <sheetViews>
    <sheetView showGridLines="0" tabSelected="1" zoomScale="72" zoomScaleNormal="72" workbookViewId="0">
      <pane xSplit="1" ySplit="3" topLeftCell="B4" activePane="bottomRight" state="frozen"/>
      <selection pane="topRight" activeCell="B1" sqref="B1"/>
      <selection pane="bottomLeft" activeCell="A4" sqref="A4"/>
      <selection pane="bottomRight" activeCell="M10" sqref="M10"/>
    </sheetView>
  </sheetViews>
  <sheetFormatPr defaultColWidth="8.6328125" defaultRowHeight="14.5" x14ac:dyDescent="0.35"/>
  <cols>
    <col min="1" max="1" width="22" customWidth="1"/>
    <col min="2" max="12" width="14" customWidth="1"/>
    <col min="13" max="13" width="29.81640625" customWidth="1"/>
  </cols>
  <sheetData>
    <row r="1" spans="1:13" ht="20" x14ac:dyDescent="0.4">
      <c r="A1" s="64" t="s">
        <v>195</v>
      </c>
    </row>
    <row r="2" spans="1:13" x14ac:dyDescent="0.35">
      <c r="A2" s="38" t="s">
        <v>196</v>
      </c>
    </row>
    <row r="4" spans="1:13" x14ac:dyDescent="0.35">
      <c r="A4" s="65" t="s">
        <v>197</v>
      </c>
      <c r="B4" s="66"/>
      <c r="C4" s="66"/>
      <c r="D4" s="66"/>
      <c r="E4" s="66"/>
      <c r="F4" s="66"/>
      <c r="G4" s="66"/>
      <c r="H4" s="66"/>
      <c r="I4" s="66"/>
      <c r="J4" s="66"/>
    </row>
    <row r="5" spans="1:13" ht="30" customHeight="1" x14ac:dyDescent="0.35">
      <c r="A5" s="23" t="s">
        <v>25</v>
      </c>
      <c r="B5" s="24" t="s">
        <v>48</v>
      </c>
      <c r="C5" s="24" t="s">
        <v>67</v>
      </c>
      <c r="D5" s="24" t="s">
        <v>49</v>
      </c>
      <c r="E5" s="24" t="s">
        <v>50</v>
      </c>
      <c r="F5" s="24" t="s">
        <v>51</v>
      </c>
      <c r="G5" s="24" t="s">
        <v>69</v>
      </c>
      <c r="H5" s="24" t="s">
        <v>52</v>
      </c>
      <c r="I5" s="24" t="s">
        <v>106</v>
      </c>
      <c r="J5" s="24" t="s">
        <v>198</v>
      </c>
    </row>
    <row r="6" spans="1:13" x14ac:dyDescent="0.35">
      <c r="A6" s="67" t="s">
        <v>72</v>
      </c>
      <c r="B6" s="26">
        <f t="shared" ref="B6:B11" si="0">COUNTIFS(d_nbhd,$A6)</f>
        <v>39</v>
      </c>
      <c r="C6" s="29">
        <f t="shared" ref="C6:C11" si="1">B6/B$12</f>
        <v>0.156</v>
      </c>
      <c r="D6" s="27">
        <f t="shared" ref="D6:D11" si="2">SUMIFS(d_price,d_nbhd,$A6)</f>
        <v>11140000</v>
      </c>
      <c r="E6" s="27">
        <f t="shared" ref="E6:E11" si="3">IFERROR(AVERAGEIFS(d_price,d_nbhd,$A6),"")</f>
        <v>285641.02564102563</v>
      </c>
      <c r="F6" s="27">
        <f t="array" ref="F6">IFERROR(MEDIAN(IF(d_nbhd=$A6,d_price)),"")</f>
        <v>306000</v>
      </c>
      <c r="G6" s="27">
        <f t="shared" ref="G6:G11" si="4">IFERROR(AVERAGEIFS(d_psf,d_nbhd,$A6),"")</f>
        <v>172.14713499472541</v>
      </c>
      <c r="H6" s="28">
        <f t="shared" ref="H6:H11" si="5">IFERROR(AVERAGEIFS(d_dom,d_nbhd,$A6),"")</f>
        <v>67.578947368421055</v>
      </c>
      <c r="I6" s="29">
        <f t="shared" ref="I6:I11" si="6">IFERROR(AVERAGEIFS(d_stl,d_nbhd,$A6),"")</f>
        <v>0.97450340946562075</v>
      </c>
      <c r="J6" s="50">
        <f t="shared" ref="J6:J11" si="7">IFERROR(AVERAGEIFS(d_comm,d_nbhd,$A6),"")</f>
        <v>2.9064864864864863</v>
      </c>
    </row>
    <row r="7" spans="1:13" x14ac:dyDescent="0.35">
      <c r="A7" s="67" t="s">
        <v>73</v>
      </c>
      <c r="B7" s="26">
        <f t="shared" si="0"/>
        <v>36</v>
      </c>
      <c r="C7" s="29">
        <f t="shared" si="1"/>
        <v>0.14399999999999999</v>
      </c>
      <c r="D7" s="27">
        <f t="shared" si="2"/>
        <v>15479000</v>
      </c>
      <c r="E7" s="27">
        <f t="shared" si="3"/>
        <v>429972.22222222225</v>
      </c>
      <c r="F7" s="27">
        <f t="array" ref="F7">IFERROR(MEDIAN(IF(d_nbhd=$A7,d_price)),"")</f>
        <v>407000</v>
      </c>
      <c r="G7" s="27">
        <f t="shared" si="4"/>
        <v>296.95506371725855</v>
      </c>
      <c r="H7" s="28">
        <f t="shared" si="5"/>
        <v>52.777777777777779</v>
      </c>
      <c r="I7" s="29">
        <f t="shared" si="6"/>
        <v>0.97717766473621637</v>
      </c>
      <c r="J7" s="50">
        <f t="shared" si="7"/>
        <v>2.878571428571429</v>
      </c>
    </row>
    <row r="8" spans="1:13" ht="18.5" x14ac:dyDescent="0.45">
      <c r="A8" s="67" t="s">
        <v>74</v>
      </c>
      <c r="B8" s="26">
        <f t="shared" si="0"/>
        <v>51</v>
      </c>
      <c r="C8" s="29">
        <f t="shared" si="1"/>
        <v>0.20399999999999999</v>
      </c>
      <c r="D8" s="27">
        <f t="shared" si="2"/>
        <v>17166000</v>
      </c>
      <c r="E8" s="27">
        <f t="shared" si="3"/>
        <v>336588.23529411765</v>
      </c>
      <c r="F8" s="27">
        <f t="array" ref="F8">IFERROR(MEDIAN(IF(d_nbhd=$A8,d_price)),"")</f>
        <v>339000</v>
      </c>
      <c r="G8" s="27">
        <f t="shared" si="4"/>
        <v>193.36795614146104</v>
      </c>
      <c r="H8" s="28">
        <f t="shared" si="5"/>
        <v>54.170212765957444</v>
      </c>
      <c r="I8" s="29">
        <f t="shared" si="6"/>
        <v>0.97104751458188432</v>
      </c>
      <c r="J8" s="50">
        <f t="shared" si="7"/>
        <v>2.9588636363636351</v>
      </c>
      <c r="M8" s="132"/>
    </row>
    <row r="9" spans="1:13" x14ac:dyDescent="0.35">
      <c r="A9" s="67" t="s">
        <v>75</v>
      </c>
      <c r="B9" s="26">
        <f t="shared" si="0"/>
        <v>58</v>
      </c>
      <c r="C9" s="29">
        <f t="shared" si="1"/>
        <v>0.23200000000000001</v>
      </c>
      <c r="D9" s="27">
        <f t="shared" si="2"/>
        <v>28572000</v>
      </c>
      <c r="E9" s="27">
        <f t="shared" si="3"/>
        <v>492620.68965517241</v>
      </c>
      <c r="F9" s="27">
        <f t="array" ref="F9">IFERROR(MEDIAN(IF(d_nbhd=$A9,d_price)),"")</f>
        <v>450500</v>
      </c>
      <c r="G9" s="27">
        <f t="shared" si="4"/>
        <v>252.82581500983076</v>
      </c>
      <c r="H9" s="28">
        <f t="shared" si="5"/>
        <v>58.142857142857146</v>
      </c>
      <c r="I9" s="29">
        <f t="shared" si="6"/>
        <v>0.97342953711263269</v>
      </c>
      <c r="J9" s="50">
        <f t="shared" si="7"/>
        <v>2.9075438596491217</v>
      </c>
    </row>
    <row r="10" spans="1:13" x14ac:dyDescent="0.35">
      <c r="A10" s="67" t="s">
        <v>76</v>
      </c>
      <c r="B10" s="26">
        <f t="shared" si="0"/>
        <v>62</v>
      </c>
      <c r="C10" s="29">
        <f t="shared" si="1"/>
        <v>0.248</v>
      </c>
      <c r="D10" s="27">
        <f t="shared" si="2"/>
        <v>23755000</v>
      </c>
      <c r="E10" s="27">
        <f t="shared" si="3"/>
        <v>383145.16129032261</v>
      </c>
      <c r="F10" s="27">
        <f t="array" ref="F10">IFERROR(MEDIAN(IF(d_nbhd=$A10,d_price)),"")</f>
        <v>381500</v>
      </c>
      <c r="G10" s="27">
        <f t="shared" si="4"/>
        <v>221.25058775598225</v>
      </c>
      <c r="H10" s="28">
        <f t="shared" si="5"/>
        <v>54.770491803278688</v>
      </c>
      <c r="I10" s="29">
        <f t="shared" si="6"/>
        <v>0.9769099765186402</v>
      </c>
      <c r="J10" s="50">
        <f t="shared" si="7"/>
        <v>2.9426315789473692</v>
      </c>
    </row>
    <row r="11" spans="1:13" x14ac:dyDescent="0.35">
      <c r="A11" s="67" t="s">
        <v>182</v>
      </c>
      <c r="B11" s="26">
        <f t="shared" si="0"/>
        <v>4</v>
      </c>
      <c r="C11" s="29">
        <f t="shared" si="1"/>
        <v>1.6E-2</v>
      </c>
      <c r="D11" s="27">
        <f t="shared" si="2"/>
        <v>1488000</v>
      </c>
      <c r="E11" s="27">
        <f t="shared" si="3"/>
        <v>372000</v>
      </c>
      <c r="F11" s="27">
        <f t="array" ref="F11">IFERROR(MEDIAN(IF(d_nbhd=$A11,d_price)),"")</f>
        <v>333000</v>
      </c>
      <c r="G11" s="27">
        <f t="shared" si="4"/>
        <v>207.19019147252243</v>
      </c>
      <c r="H11" s="28">
        <f t="shared" si="5"/>
        <v>68.25</v>
      </c>
      <c r="I11" s="29">
        <f t="shared" si="6"/>
        <v>0.99839829285898807</v>
      </c>
      <c r="J11" s="50">
        <f t="shared" si="7"/>
        <v>3</v>
      </c>
    </row>
    <row r="12" spans="1:13" x14ac:dyDescent="0.35">
      <c r="A12" s="32" t="s">
        <v>199</v>
      </c>
      <c r="B12" s="33">
        <f>SUM(B6:B11)</f>
        <v>250</v>
      </c>
      <c r="C12" s="36">
        <f>SUM(C6:C11)</f>
        <v>1</v>
      </c>
      <c r="D12" s="34">
        <f>SUM(D6:D11)</f>
        <v>97600000</v>
      </c>
      <c r="E12" s="34">
        <f>AVERAGE(d_price)</f>
        <v>390400</v>
      </c>
      <c r="F12" s="34">
        <f>MEDIAN(d_price)</f>
        <v>366000</v>
      </c>
      <c r="G12" s="34">
        <f>AVERAGE(d_psf)</f>
        <v>225.90432319664487</v>
      </c>
      <c r="H12" s="35">
        <f>AVERAGE(d_dom)</f>
        <v>57.371900826446279</v>
      </c>
      <c r="I12" s="36">
        <f>AVERAGE(d_stl)</f>
        <v>0.97491350804585453</v>
      </c>
      <c r="J12" s="53">
        <f>AVERAGE(d_comm)</f>
        <v>2.9224892703862664</v>
      </c>
    </row>
    <row r="14" spans="1:13" x14ac:dyDescent="0.35">
      <c r="A14" s="65" t="s">
        <v>200</v>
      </c>
      <c r="B14" s="66"/>
      <c r="C14" s="66"/>
      <c r="D14" s="66"/>
      <c r="E14" s="66"/>
      <c r="F14" s="66"/>
      <c r="G14" s="66"/>
      <c r="H14" s="66"/>
      <c r="I14" s="66"/>
      <c r="J14" s="66"/>
    </row>
    <row r="15" spans="1:13" ht="30" customHeight="1" x14ac:dyDescent="0.35">
      <c r="A15" s="23" t="s">
        <v>114</v>
      </c>
      <c r="B15" s="24" t="s">
        <v>48</v>
      </c>
      <c r="C15" s="24" t="s">
        <v>67</v>
      </c>
      <c r="D15" s="24" t="s">
        <v>49</v>
      </c>
      <c r="E15" s="24" t="s">
        <v>50</v>
      </c>
      <c r="F15" s="24" t="s">
        <v>51</v>
      </c>
      <c r="G15" s="24" t="s">
        <v>69</v>
      </c>
      <c r="H15" s="24" t="s">
        <v>52</v>
      </c>
      <c r="I15" s="24" t="s">
        <v>106</v>
      </c>
      <c r="J15" s="24" t="s">
        <v>198</v>
      </c>
    </row>
    <row r="16" spans="1:13" x14ac:dyDescent="0.35">
      <c r="A16" s="67" t="s">
        <v>26</v>
      </c>
      <c r="B16" s="26">
        <f>COUNTIFS(d_type,$A16)</f>
        <v>57</v>
      </c>
      <c r="C16" s="29">
        <f>B16/B$19</f>
        <v>0.22800000000000001</v>
      </c>
      <c r="D16" s="27">
        <f>SUMIFS(d_price,d_type,$A16)</f>
        <v>15297000</v>
      </c>
      <c r="E16" s="27">
        <f>IFERROR(AVERAGEIFS(d_price,d_type,$A16),"")</f>
        <v>268368.42105263157</v>
      </c>
      <c r="F16" s="27">
        <f t="array" ref="F16">IFERROR(MEDIAN(IF(d_type=$A16,d_price)),"")</f>
        <v>263000</v>
      </c>
      <c r="G16" s="27">
        <f>IFERROR(AVERAGEIFS(d_psf,d_type,$A16),"")</f>
        <v>235.81425631873867</v>
      </c>
      <c r="H16" s="28">
        <f>IFERROR(AVERAGEIFS(d_dom,d_type,$A16),"")</f>
        <v>59.636363636363633</v>
      </c>
      <c r="I16" s="29">
        <f>IFERROR(AVERAGEIFS(d_stl,d_type,$A16),"")</f>
        <v>0.97307063335803845</v>
      </c>
      <c r="J16" s="50">
        <f>IFERROR(AVERAGEIFS(d_comm,d_type,$A16),"")</f>
        <v>2.9592156862745096</v>
      </c>
    </row>
    <row r="17" spans="1:10" x14ac:dyDescent="0.35">
      <c r="A17" s="67" t="s">
        <v>27</v>
      </c>
      <c r="B17" s="26">
        <f>COUNTIFS(d_type,$A17)</f>
        <v>146</v>
      </c>
      <c r="C17" s="29">
        <f>B17/B$19</f>
        <v>0.58399999999999996</v>
      </c>
      <c r="D17" s="27">
        <f>SUMIFS(d_price,d_type,$A17)</f>
        <v>66076000</v>
      </c>
      <c r="E17" s="27">
        <f>IFERROR(AVERAGEIFS(d_price,d_type,$A17),"")</f>
        <v>452575.34246575343</v>
      </c>
      <c r="F17" s="27">
        <f t="array" ref="F17">IFERROR(MEDIAN(IF(d_type=$A17,d_price)),"")</f>
        <v>428500</v>
      </c>
      <c r="G17" s="27">
        <f>IFERROR(AVERAGEIFS(d_psf,d_type,$A17),"")</f>
        <v>225.45493899017006</v>
      </c>
      <c r="H17" s="28">
        <f>IFERROR(AVERAGEIFS(d_dom,d_type,$A17),"")</f>
        <v>57.471830985915496</v>
      </c>
      <c r="I17" s="29">
        <f>IFERROR(AVERAGEIFS(d_stl,d_type,$A17),"")</f>
        <v>0.97535231191088634</v>
      </c>
      <c r="J17" s="50">
        <f>IFERROR(AVERAGEIFS(d_comm,d_type,$A17),"")</f>
        <v>2.916131386861315</v>
      </c>
    </row>
    <row r="18" spans="1:10" x14ac:dyDescent="0.35">
      <c r="A18" s="67" t="s">
        <v>28</v>
      </c>
      <c r="B18" s="26">
        <f>COUNTIFS(d_type,$A18)</f>
        <v>47</v>
      </c>
      <c r="C18" s="29">
        <f>B18/B$19</f>
        <v>0.188</v>
      </c>
      <c r="D18" s="27">
        <f>SUMIFS(d_price,d_type,$A18)</f>
        <v>16227000</v>
      </c>
      <c r="E18" s="27">
        <f>IFERROR(AVERAGEIFS(d_price,d_type,$A18),"")</f>
        <v>345255.31914893619</v>
      </c>
      <c r="F18" s="27">
        <f t="array" ref="F18">IFERROR(MEDIAN(IF(d_type=$A18,d_price)),"")</f>
        <v>339000</v>
      </c>
      <c r="G18" s="27">
        <f>IFERROR(AVERAGEIFS(d_psf,d_type,$A18),"")</f>
        <v>215.28185311549672</v>
      </c>
      <c r="H18" s="28">
        <f>IFERROR(AVERAGEIFS(d_dom,d_type,$A18),"")</f>
        <v>54.288888888888891</v>
      </c>
      <c r="I18" s="29">
        <f>IFERROR(AVERAGEIFS(d_stl,d_type,$A18),"")</f>
        <v>0.97578539087374205</v>
      </c>
      <c r="J18" s="50">
        <f>IFERROR(AVERAGEIFS(d_comm,d_type,$A18),"")</f>
        <v>2.9002222222222214</v>
      </c>
    </row>
    <row r="19" spans="1:10" x14ac:dyDescent="0.35">
      <c r="A19" s="32" t="s">
        <v>199</v>
      </c>
      <c r="B19" s="33">
        <f>SUM(B16:B18)</f>
        <v>250</v>
      </c>
      <c r="C19" s="36">
        <f>SUM(C16:C18)</f>
        <v>1</v>
      </c>
      <c r="D19" s="34">
        <f>SUM(D16:D18)</f>
        <v>97600000</v>
      </c>
      <c r="E19" s="34">
        <f>AVERAGE(d_price)</f>
        <v>390400</v>
      </c>
      <c r="F19" s="34">
        <f>MEDIAN(d_price)</f>
        <v>366000</v>
      </c>
      <c r="G19" s="34">
        <f>AVERAGE(d_psf)</f>
        <v>225.90432319664487</v>
      </c>
      <c r="H19" s="35">
        <f>AVERAGE(d_dom)</f>
        <v>57.371900826446279</v>
      </c>
      <c r="I19" s="36">
        <f>AVERAGE(d_stl)</f>
        <v>0.97491350804585453</v>
      </c>
      <c r="J19" s="53">
        <f>AVERAGE(d_comm)</f>
        <v>2.9224892703862664</v>
      </c>
    </row>
    <row r="21" spans="1:10" x14ac:dyDescent="0.35">
      <c r="A21" s="65" t="s">
        <v>201</v>
      </c>
      <c r="B21" s="66"/>
      <c r="C21" s="66"/>
      <c r="D21" s="66"/>
      <c r="E21" s="66"/>
      <c r="F21" s="66"/>
      <c r="G21" s="66"/>
      <c r="H21" s="66"/>
      <c r="I21" s="66"/>
      <c r="J21" s="66"/>
    </row>
    <row r="22" spans="1:10" ht="30" customHeight="1" x14ac:dyDescent="0.35">
      <c r="A22" s="23" t="s">
        <v>177</v>
      </c>
      <c r="B22" s="24" t="s">
        <v>48</v>
      </c>
      <c r="C22" s="24" t="s">
        <v>67</v>
      </c>
      <c r="D22" s="24" t="s">
        <v>49</v>
      </c>
      <c r="E22" s="24" t="s">
        <v>50</v>
      </c>
      <c r="F22" s="24" t="s">
        <v>51</v>
      </c>
      <c r="G22" s="24" t="s">
        <v>69</v>
      </c>
      <c r="H22" s="24" t="s">
        <v>52</v>
      </c>
      <c r="I22" s="24" t="s">
        <v>106</v>
      </c>
      <c r="J22" s="24" t="s">
        <v>198</v>
      </c>
    </row>
    <row r="23" spans="1:10" x14ac:dyDescent="0.35">
      <c r="A23" s="67" t="s">
        <v>178</v>
      </c>
      <c r="B23" s="26">
        <f>COUNTIFS(d_cond,$A23)</f>
        <v>62</v>
      </c>
      <c r="C23" s="29">
        <f>B23/B$28</f>
        <v>0.248</v>
      </c>
      <c r="D23" s="27">
        <f>SUMIFS(d_price,d_cond,$A23)</f>
        <v>28455000</v>
      </c>
      <c r="E23" s="27">
        <f>IFERROR(AVERAGEIFS(d_price,d_cond,$A23),"")</f>
        <v>458951.61290322582</v>
      </c>
      <c r="F23" s="27">
        <f t="array" ref="F23">IFERROR(MEDIAN(IF(d_cond=$A23,d_price)),"")</f>
        <v>405000</v>
      </c>
      <c r="G23" s="27">
        <f>IFERROR(AVERAGEIFS(d_psf,d_cond,$A23),"")</f>
        <v>252.55274277205891</v>
      </c>
      <c r="H23" s="28">
        <f>IFERROR(AVERAGEIFS(d_dom,d_cond,$A23),"")</f>
        <v>48.901639344262293</v>
      </c>
      <c r="I23" s="29">
        <f>IFERROR(AVERAGEIFS(d_stl,d_cond,$A23),"")</f>
        <v>0.97978706541857297</v>
      </c>
      <c r="J23" s="50">
        <f>IFERROR(AVERAGEIFS(d_comm,d_cond,$A23),"")</f>
        <v>2.8951666666666669</v>
      </c>
    </row>
    <row r="24" spans="1:10" x14ac:dyDescent="0.35">
      <c r="A24" s="67" t="s">
        <v>179</v>
      </c>
      <c r="B24" s="26">
        <f>COUNTIFS(d_cond,$A24)</f>
        <v>105</v>
      </c>
      <c r="C24" s="29">
        <f>B24/B$28</f>
        <v>0.42</v>
      </c>
      <c r="D24" s="27">
        <f>SUMIFS(d_price,d_cond,$A24)</f>
        <v>39126000</v>
      </c>
      <c r="E24" s="27">
        <f>IFERROR(AVERAGEIFS(d_price,d_cond,$A24),"")</f>
        <v>372628.57142857142</v>
      </c>
      <c r="F24" s="27">
        <f t="array" ref="F24">IFERROR(MEDIAN(IF(d_cond=$A24,d_price)),"")</f>
        <v>364000</v>
      </c>
      <c r="G24" s="27">
        <f>IFERROR(AVERAGEIFS(d_psf,d_cond,$A24),"")</f>
        <v>222.75656340102032</v>
      </c>
      <c r="H24" s="28">
        <f>IFERROR(AVERAGEIFS(d_dom,d_cond,$A24),"")</f>
        <v>52.128712871287128</v>
      </c>
      <c r="I24" s="29">
        <f>IFERROR(AVERAGEIFS(d_stl,d_cond,$A24),"")</f>
        <v>0.97112013207307168</v>
      </c>
      <c r="J24" s="50">
        <f>IFERROR(AVERAGEIFS(d_comm,d_cond,$A24),"")</f>
        <v>2.9216666666666682</v>
      </c>
    </row>
    <row r="25" spans="1:10" x14ac:dyDescent="0.35">
      <c r="A25" s="67" t="s">
        <v>180</v>
      </c>
      <c r="B25" s="26">
        <f>COUNTIFS(d_cond,$A25)</f>
        <v>60</v>
      </c>
      <c r="C25" s="29">
        <f>B25/B$28</f>
        <v>0.24</v>
      </c>
      <c r="D25" s="27">
        <f>SUMIFS(d_price,d_cond,$A25)</f>
        <v>21605000</v>
      </c>
      <c r="E25" s="27">
        <f>IFERROR(AVERAGEIFS(d_price,d_cond,$A25),"")</f>
        <v>360083.33333333331</v>
      </c>
      <c r="F25" s="27">
        <f t="array" ref="F25">IFERROR(MEDIAN(IF(d_cond=$A25,d_price)),"")</f>
        <v>346000</v>
      </c>
      <c r="G25" s="27">
        <f>IFERROR(AVERAGEIFS(d_psf,d_cond,$A25),"")</f>
        <v>212.47925790225403</v>
      </c>
      <c r="H25" s="28">
        <f>IFERROR(AVERAGEIFS(d_dom,d_cond,$A25),"")</f>
        <v>72.396551724137936</v>
      </c>
      <c r="I25" s="29">
        <f>IFERROR(AVERAGEIFS(d_stl,d_cond,$A25),"")</f>
        <v>0.97609542323054421</v>
      </c>
      <c r="J25" s="50">
        <f>IFERROR(AVERAGEIFS(d_comm,d_cond,$A25),"")</f>
        <v>2.9598214285714279</v>
      </c>
    </row>
    <row r="26" spans="1:10" x14ac:dyDescent="0.35">
      <c r="A26" s="67" t="s">
        <v>181</v>
      </c>
      <c r="B26" s="26">
        <f>COUNTIFS(d_cond,$A26)</f>
        <v>11</v>
      </c>
      <c r="C26" s="29">
        <f>B26/B$28</f>
        <v>4.3999999999999997E-2</v>
      </c>
      <c r="D26" s="27">
        <f>SUMIFS(d_price,d_cond,$A26)</f>
        <v>3496000</v>
      </c>
      <c r="E26" s="27">
        <f>IFERROR(AVERAGEIFS(d_price,d_cond,$A26),"")</f>
        <v>317818.18181818182</v>
      </c>
      <c r="F26" s="27">
        <f t="array" ref="F26">IFERROR(MEDIAN(IF(d_cond=$A26,d_price)),"")</f>
        <v>315000</v>
      </c>
      <c r="G26" s="27">
        <f>IFERROR(AVERAGEIFS(d_psf,d_cond,$A26),"")</f>
        <v>181.72840791105443</v>
      </c>
      <c r="H26" s="28">
        <f>IFERROR(AVERAGEIFS(d_dom,d_cond,$A26),"")</f>
        <v>75.3</v>
      </c>
      <c r="I26" s="29">
        <f>IFERROR(AVERAGEIFS(d_stl,d_cond,$A26),"")</f>
        <v>0.98119220844914323</v>
      </c>
      <c r="J26" s="50">
        <f>IFERROR(AVERAGEIFS(d_comm,d_cond,$A26),"")</f>
        <v>2.9669999999999996</v>
      </c>
    </row>
    <row r="27" spans="1:10" x14ac:dyDescent="0.35">
      <c r="A27" s="67" t="s">
        <v>182</v>
      </c>
      <c r="B27" s="26">
        <f>COUNTIFS(d_cond,$A27)</f>
        <v>12</v>
      </c>
      <c r="C27" s="29">
        <f>B27/B$28</f>
        <v>4.8000000000000001E-2</v>
      </c>
      <c r="D27" s="27">
        <f>SUMIFS(d_price,d_cond,$A27)</f>
        <v>4918000</v>
      </c>
      <c r="E27" s="27">
        <f>IFERROR(AVERAGEIFS(d_price,d_cond,$A27),"")</f>
        <v>409833.33333333331</v>
      </c>
      <c r="F27" s="27">
        <f t="array" ref="F27">IFERROR(MEDIAN(IF(d_cond=$A27,d_price)),"")</f>
        <v>427500</v>
      </c>
      <c r="G27" s="27">
        <f>IFERROR(AVERAGEIFS(d_psf,d_cond,$A27),"")</f>
        <v>223.38363575247004</v>
      </c>
      <c r="H27" s="28">
        <f>IFERROR(AVERAGEIFS(d_dom,d_cond,$A27),"")</f>
        <v>57</v>
      </c>
      <c r="I27" s="29">
        <f>IFERROR(AVERAGEIFS(d_stl,d_cond,$A27),"")</f>
        <v>0.97126045008884299</v>
      </c>
      <c r="J27" s="50">
        <f>IFERROR(AVERAGEIFS(d_comm,d_cond,$A27),"")</f>
        <v>2.8481818181818181</v>
      </c>
    </row>
    <row r="28" spans="1:10" x14ac:dyDescent="0.35">
      <c r="A28" s="32" t="s">
        <v>199</v>
      </c>
      <c r="B28" s="33">
        <f>SUM(B23:B27)</f>
        <v>250</v>
      </c>
      <c r="C28" s="36">
        <f>SUM(C23:C27)</f>
        <v>1</v>
      </c>
      <c r="D28" s="34">
        <f>SUM(D23:D27)</f>
        <v>97600000</v>
      </c>
      <c r="E28" s="34">
        <f>AVERAGE(d_price)</f>
        <v>390400</v>
      </c>
      <c r="F28" s="34">
        <f>MEDIAN(d_price)</f>
        <v>366000</v>
      </c>
      <c r="G28" s="34">
        <f>AVERAGE(d_psf)</f>
        <v>225.90432319664487</v>
      </c>
      <c r="H28" s="35">
        <f>AVERAGE(d_dom)</f>
        <v>57.371900826446279</v>
      </c>
      <c r="I28" s="36">
        <f>AVERAGE(d_stl)</f>
        <v>0.97491350804585453</v>
      </c>
      <c r="J28" s="53">
        <f>AVERAGE(d_comm)</f>
        <v>2.9224892703862664</v>
      </c>
    </row>
    <row r="30" spans="1:10" x14ac:dyDescent="0.35">
      <c r="A30" s="65" t="s">
        <v>202</v>
      </c>
      <c r="B30" s="66"/>
      <c r="C30" s="66"/>
      <c r="D30" s="66"/>
      <c r="E30" s="66"/>
      <c r="F30" s="66"/>
      <c r="G30" s="66"/>
      <c r="H30" s="66"/>
      <c r="I30" s="66"/>
      <c r="J30" s="66"/>
    </row>
    <row r="31" spans="1:10" ht="30" customHeight="1" x14ac:dyDescent="0.35">
      <c r="A31" s="23" t="s">
        <v>190</v>
      </c>
      <c r="B31" s="24" t="s">
        <v>48</v>
      </c>
      <c r="C31" s="24" t="s">
        <v>67</v>
      </c>
      <c r="D31" s="24" t="s">
        <v>49</v>
      </c>
      <c r="E31" s="24" t="s">
        <v>50</v>
      </c>
      <c r="F31" s="24" t="s">
        <v>51</v>
      </c>
      <c r="G31" s="24" t="s">
        <v>69</v>
      </c>
      <c r="H31" s="24" t="s">
        <v>52</v>
      </c>
      <c r="I31" s="24" t="s">
        <v>106</v>
      </c>
      <c r="J31" s="24" t="s">
        <v>198</v>
      </c>
    </row>
    <row r="32" spans="1:10" x14ac:dyDescent="0.35">
      <c r="A32" s="67">
        <v>1</v>
      </c>
      <c r="B32" s="26">
        <f t="shared" ref="B32:B37" si="8">COUNTIFS(d_beds,$A32)</f>
        <v>27</v>
      </c>
      <c r="C32" s="29">
        <f t="shared" ref="C32:C37" si="9">B32/B$38</f>
        <v>0.108</v>
      </c>
      <c r="D32" s="27">
        <f t="shared" ref="D32:D37" si="10">SUMIFS(d_price,d_beds,$A32)</f>
        <v>5999000</v>
      </c>
      <c r="E32" s="27">
        <f t="shared" ref="E32:E37" si="11">IFERROR(AVERAGEIFS(d_price,d_beds,$A32),"")</f>
        <v>222185.1851851852</v>
      </c>
      <c r="F32" s="27">
        <f t="array" ref="F32">IFERROR(MEDIAN(IF(d_beds=$A32,d_price)),"")</f>
        <v>199000</v>
      </c>
      <c r="G32" s="27">
        <f t="shared" ref="G32:G37" si="12">IFERROR(AVERAGEIFS(d_psf,d_beds,$A32),"")</f>
        <v>252.12408492702531</v>
      </c>
      <c r="H32" s="28">
        <f t="shared" ref="H32:H37" si="13">IFERROR(AVERAGEIFS(d_dom,d_beds,$A32),"")</f>
        <v>63.555555555555557</v>
      </c>
      <c r="I32" s="29">
        <f t="shared" ref="I32:I37" si="14">IFERROR(AVERAGEIFS(d_stl,d_beds,$A32),"")</f>
        <v>0.9822939870047448</v>
      </c>
      <c r="J32" s="50">
        <f t="shared" ref="J32:J37" si="15">IFERROR(AVERAGEIFS(d_comm,d_beds,$A32),"")</f>
        <v>2.9990909090909095</v>
      </c>
    </row>
    <row r="33" spans="1:10" x14ac:dyDescent="0.35">
      <c r="A33" s="67">
        <v>2</v>
      </c>
      <c r="B33" s="26">
        <f t="shared" si="8"/>
        <v>51</v>
      </c>
      <c r="C33" s="29">
        <f t="shared" si="9"/>
        <v>0.20399999999999999</v>
      </c>
      <c r="D33" s="27">
        <f t="shared" si="10"/>
        <v>15424000</v>
      </c>
      <c r="E33" s="27">
        <f t="shared" si="11"/>
        <v>302431.37254901958</v>
      </c>
      <c r="F33" s="27">
        <f t="array" ref="F33">IFERROR(MEDIAN(IF(d_beds=$A33,d_price)),"")</f>
        <v>301000</v>
      </c>
      <c r="G33" s="27">
        <f t="shared" si="12"/>
        <v>233.88434670991566</v>
      </c>
      <c r="H33" s="28">
        <f t="shared" si="13"/>
        <v>57.795918367346935</v>
      </c>
      <c r="I33" s="29">
        <f t="shared" si="14"/>
        <v>0.96993566425286237</v>
      </c>
      <c r="J33" s="50">
        <f t="shared" si="15"/>
        <v>2.9224489795918367</v>
      </c>
    </row>
    <row r="34" spans="1:10" x14ac:dyDescent="0.35">
      <c r="A34" s="67">
        <v>3</v>
      </c>
      <c r="B34" s="26">
        <f t="shared" si="8"/>
        <v>94</v>
      </c>
      <c r="C34" s="29">
        <f t="shared" si="9"/>
        <v>0.376</v>
      </c>
      <c r="D34" s="27">
        <f t="shared" si="10"/>
        <v>35757000</v>
      </c>
      <c r="E34" s="27">
        <f t="shared" si="11"/>
        <v>380393.61702127662</v>
      </c>
      <c r="F34" s="27">
        <f t="array" ref="F34">IFERROR(MEDIAN(IF(d_beds=$A34,d_price)),"")</f>
        <v>372000</v>
      </c>
      <c r="G34" s="27">
        <f t="shared" si="12"/>
        <v>220.3243122173059</v>
      </c>
      <c r="H34" s="28">
        <f t="shared" si="13"/>
        <v>59.133333333333333</v>
      </c>
      <c r="I34" s="29">
        <f t="shared" si="14"/>
        <v>0.97516756073916933</v>
      </c>
      <c r="J34" s="50">
        <f t="shared" si="15"/>
        <v>2.9226666666666667</v>
      </c>
    </row>
    <row r="35" spans="1:10" x14ac:dyDescent="0.35">
      <c r="A35" s="67">
        <v>4</v>
      </c>
      <c r="B35" s="26">
        <f t="shared" si="8"/>
        <v>55</v>
      </c>
      <c r="C35" s="29">
        <f t="shared" si="9"/>
        <v>0.22</v>
      </c>
      <c r="D35" s="27">
        <f t="shared" si="10"/>
        <v>24672000</v>
      </c>
      <c r="E35" s="27">
        <f t="shared" si="11"/>
        <v>448581.81818181818</v>
      </c>
      <c r="F35" s="27">
        <f t="array" ref="F35">IFERROR(MEDIAN(IF(d_beds=$A35,d_price)),"")</f>
        <v>444000</v>
      </c>
      <c r="G35" s="27">
        <f t="shared" si="12"/>
        <v>212.24755125968719</v>
      </c>
      <c r="H35" s="28">
        <f t="shared" si="13"/>
        <v>53.111111111111114</v>
      </c>
      <c r="I35" s="29">
        <f t="shared" si="14"/>
        <v>0.97546148828190704</v>
      </c>
      <c r="J35" s="50">
        <f t="shared" si="15"/>
        <v>2.9319607843137248</v>
      </c>
    </row>
    <row r="36" spans="1:10" x14ac:dyDescent="0.35">
      <c r="A36" s="67">
        <v>5</v>
      </c>
      <c r="B36" s="26">
        <f t="shared" si="8"/>
        <v>22</v>
      </c>
      <c r="C36" s="29">
        <f t="shared" si="9"/>
        <v>8.7999999999999995E-2</v>
      </c>
      <c r="D36" s="27">
        <f t="shared" si="10"/>
        <v>12438000</v>
      </c>
      <c r="E36" s="27">
        <f t="shared" si="11"/>
        <v>565363.63636363635</v>
      </c>
      <c r="F36" s="27">
        <f t="array" ref="F36">IFERROR(MEDIAN(IF(d_beds=$A36,d_price)),"")</f>
        <v>541000</v>
      </c>
      <c r="G36" s="27">
        <f t="shared" si="12"/>
        <v>219.9700298280155</v>
      </c>
      <c r="H36" s="28">
        <f t="shared" si="13"/>
        <v>51.666666666666664</v>
      </c>
      <c r="I36" s="29">
        <f t="shared" si="14"/>
        <v>0.9756439832089735</v>
      </c>
      <c r="J36" s="50">
        <f t="shared" si="15"/>
        <v>2.8349999999999995</v>
      </c>
    </row>
    <row r="37" spans="1:10" x14ac:dyDescent="0.35">
      <c r="A37" s="67">
        <v>6</v>
      </c>
      <c r="B37" s="26">
        <f t="shared" si="8"/>
        <v>1</v>
      </c>
      <c r="C37" s="29">
        <f t="shared" si="9"/>
        <v>4.0000000000000001E-3</v>
      </c>
      <c r="D37" s="27">
        <f t="shared" si="10"/>
        <v>3310000</v>
      </c>
      <c r="E37" s="27">
        <f t="shared" si="11"/>
        <v>3310000</v>
      </c>
      <c r="F37" s="27">
        <f t="array" ref="F37">IFERROR(MEDIAN(IF(d_beds=$A37,d_price)),"")</f>
        <v>3310000</v>
      </c>
      <c r="G37" s="27">
        <f t="shared" si="12"/>
        <v>517.1875</v>
      </c>
      <c r="H37" s="28">
        <f t="shared" si="13"/>
        <v>61</v>
      </c>
      <c r="I37" s="29">
        <f t="shared" si="14"/>
        <v>0.95942028985507244</v>
      </c>
      <c r="J37" s="50">
        <f t="shared" si="15"/>
        <v>2.4900000000000002</v>
      </c>
    </row>
    <row r="38" spans="1:10" x14ac:dyDescent="0.35">
      <c r="A38" s="32" t="s">
        <v>199</v>
      </c>
      <c r="B38" s="33">
        <f>SUM(B32:B37)</f>
        <v>250</v>
      </c>
      <c r="C38" s="36">
        <f>SUM(C32:C37)</f>
        <v>0.99999999999999989</v>
      </c>
      <c r="D38" s="34">
        <f>SUM(D32:D37)</f>
        <v>97600000</v>
      </c>
      <c r="E38" s="34">
        <f>AVERAGE(d_price)</f>
        <v>390400</v>
      </c>
      <c r="F38" s="34">
        <f>MEDIAN(d_price)</f>
        <v>366000</v>
      </c>
      <c r="G38" s="34">
        <f>AVERAGE(d_psf)</f>
        <v>225.90432319664487</v>
      </c>
      <c r="H38" s="35">
        <f>AVERAGE(d_dom)</f>
        <v>57.371900826446279</v>
      </c>
      <c r="I38" s="36">
        <f>AVERAGE(d_stl)</f>
        <v>0.97491350804585453</v>
      </c>
      <c r="J38" s="53">
        <f>AVERAGE(d_comm)</f>
        <v>2.9224892703862664</v>
      </c>
    </row>
    <row r="40" spans="1:10" x14ac:dyDescent="0.35">
      <c r="A40" s="65" t="s">
        <v>203</v>
      </c>
      <c r="B40" s="66"/>
      <c r="C40" s="66"/>
      <c r="D40" s="66"/>
      <c r="E40" s="66"/>
      <c r="F40" s="66"/>
      <c r="G40" s="66"/>
      <c r="H40" s="66"/>
      <c r="I40" s="66"/>
    </row>
    <row r="41" spans="1:10" ht="30" customHeight="1" x14ac:dyDescent="0.35">
      <c r="A41" s="23" t="s">
        <v>47</v>
      </c>
      <c r="B41" s="24" t="s">
        <v>48</v>
      </c>
      <c r="C41" s="24" t="s">
        <v>49</v>
      </c>
      <c r="D41" s="24" t="s">
        <v>50</v>
      </c>
      <c r="E41" s="24" t="s">
        <v>51</v>
      </c>
      <c r="F41" s="24" t="s">
        <v>52</v>
      </c>
      <c r="G41" s="24" t="s">
        <v>106</v>
      </c>
      <c r="H41" s="24" t="s">
        <v>204</v>
      </c>
      <c r="I41" s="24" t="s">
        <v>205</v>
      </c>
    </row>
    <row r="42" spans="1:10" x14ac:dyDescent="0.35">
      <c r="A42" s="68">
        <f>MIN(d_month)</f>
        <v>45658</v>
      </c>
      <c r="B42" s="26">
        <f t="shared" ref="B42:B61" si="16">COUNTIFS(d_month,$A42)</f>
        <v>17</v>
      </c>
      <c r="C42" s="27">
        <f t="shared" ref="C42:C61" si="17">SUMIFS(d_price,d_month,$A42)</f>
        <v>6456000</v>
      </c>
      <c r="D42" s="27">
        <f t="shared" ref="D42:D61" si="18">IFERROR(AVERAGEIFS(d_price,d_month,$A42),"")</f>
        <v>379764.70588235295</v>
      </c>
      <c r="E42" s="27">
        <f t="array" ref="E42">IFERROR(MEDIAN(IF(d_month=$A42,d_price)),"")</f>
        <v>389000</v>
      </c>
      <c r="F42" s="28">
        <f t="shared" ref="F42:F61" si="19">IFERROR(AVERAGEIFS(d_dom,d_month,$A42),"")</f>
        <v>55.823529411764703</v>
      </c>
      <c r="G42" s="29">
        <f t="shared" ref="G42:G61" si="20">IFERROR(AVERAGEIFS(d_stl,d_month,$A42),"")</f>
        <v>0.97988672266266452</v>
      </c>
      <c r="H42" s="27">
        <f>SUM(C42:C42)/SUM(B42:B42)</f>
        <v>379764.70588235295</v>
      </c>
      <c r="I42" s="69" t="str">
        <f t="shared" ref="I42:I61" si="21">TEXT(A42,"mmm-yy")</f>
        <v>Jan-25</v>
      </c>
    </row>
    <row r="43" spans="1:10" x14ac:dyDescent="0.35">
      <c r="A43" s="68">
        <f t="shared" ref="A43:A61" si="22">EDATE(A42,1)</f>
        <v>45689</v>
      </c>
      <c r="B43" s="26">
        <f t="shared" si="16"/>
        <v>12</v>
      </c>
      <c r="C43" s="27">
        <f t="shared" si="17"/>
        <v>4361000</v>
      </c>
      <c r="D43" s="27">
        <f t="shared" si="18"/>
        <v>363416.66666666669</v>
      </c>
      <c r="E43" s="27">
        <f t="array" ref="E43">IFERROR(MEDIAN(IF(d_month=$A43,d_price)),"")</f>
        <v>359500</v>
      </c>
      <c r="F43" s="28">
        <f t="shared" si="19"/>
        <v>51.545454545454547</v>
      </c>
      <c r="G43" s="29">
        <f t="shared" si="20"/>
        <v>0.96617896419738891</v>
      </c>
      <c r="H43" s="27">
        <f>SUM(C42:C43)/SUM(B42:B43)</f>
        <v>373000</v>
      </c>
      <c r="I43" s="69" t="str">
        <f t="shared" si="21"/>
        <v>Feb-25</v>
      </c>
    </row>
    <row r="44" spans="1:10" x14ac:dyDescent="0.35">
      <c r="A44" s="68">
        <f t="shared" si="22"/>
        <v>45717</v>
      </c>
      <c r="B44" s="26">
        <f t="shared" si="16"/>
        <v>19</v>
      </c>
      <c r="C44" s="27">
        <f t="shared" si="17"/>
        <v>9849000</v>
      </c>
      <c r="D44" s="27">
        <f t="shared" si="18"/>
        <v>518368.42105263157</v>
      </c>
      <c r="E44" s="27">
        <f t="array" ref="E44">IFERROR(MEDIAN(IF(d_month=$A44,d_price)),"")</f>
        <v>370000</v>
      </c>
      <c r="F44" s="28">
        <f t="shared" si="19"/>
        <v>54.388888888888886</v>
      </c>
      <c r="G44" s="29">
        <f t="shared" si="20"/>
        <v>0.96938202012996921</v>
      </c>
      <c r="H44" s="27">
        <f t="shared" ref="H44:H61" si="23">SUM(C42:C44)/SUM(B42:B44)</f>
        <v>430541.66666666669</v>
      </c>
      <c r="I44" s="69" t="str">
        <f t="shared" si="21"/>
        <v>Mar-25</v>
      </c>
    </row>
    <row r="45" spans="1:10" x14ac:dyDescent="0.35">
      <c r="A45" s="68">
        <f t="shared" si="22"/>
        <v>45748</v>
      </c>
      <c r="B45" s="26">
        <f t="shared" si="16"/>
        <v>13</v>
      </c>
      <c r="C45" s="27">
        <f t="shared" si="17"/>
        <v>5756000</v>
      </c>
      <c r="D45" s="27">
        <f t="shared" si="18"/>
        <v>442769.23076923075</v>
      </c>
      <c r="E45" s="27">
        <f t="array" ref="E45">IFERROR(MEDIAN(IF(d_month=$A45,d_price)),"")</f>
        <v>382000</v>
      </c>
      <c r="F45" s="28">
        <f t="shared" si="19"/>
        <v>53.153846153846153</v>
      </c>
      <c r="G45" s="29">
        <f t="shared" si="20"/>
        <v>0.98632747149738753</v>
      </c>
      <c r="H45" s="27">
        <f t="shared" si="23"/>
        <v>453772.72727272729</v>
      </c>
      <c r="I45" s="69" t="str">
        <f t="shared" si="21"/>
        <v>Apr-25</v>
      </c>
    </row>
    <row r="46" spans="1:10" x14ac:dyDescent="0.35">
      <c r="A46" s="68">
        <f t="shared" si="22"/>
        <v>45778</v>
      </c>
      <c r="B46" s="26">
        <f t="shared" si="16"/>
        <v>10</v>
      </c>
      <c r="C46" s="27">
        <f t="shared" si="17"/>
        <v>4259000</v>
      </c>
      <c r="D46" s="27">
        <f t="shared" si="18"/>
        <v>425900</v>
      </c>
      <c r="E46" s="27">
        <f t="array" ref="E46">IFERROR(MEDIAN(IF(d_month=$A46,d_price)),"")</f>
        <v>380000</v>
      </c>
      <c r="F46" s="28">
        <f t="shared" si="19"/>
        <v>62.5</v>
      </c>
      <c r="G46" s="29">
        <f t="shared" si="20"/>
        <v>0.97588207991007303</v>
      </c>
      <c r="H46" s="27">
        <f t="shared" si="23"/>
        <v>472952.38095238095</v>
      </c>
      <c r="I46" s="69" t="str">
        <f t="shared" si="21"/>
        <v>May-25</v>
      </c>
    </row>
    <row r="47" spans="1:10" x14ac:dyDescent="0.35">
      <c r="A47" s="68">
        <f t="shared" si="22"/>
        <v>45809</v>
      </c>
      <c r="B47" s="26">
        <f t="shared" si="16"/>
        <v>11</v>
      </c>
      <c r="C47" s="27">
        <f t="shared" si="17"/>
        <v>4532000</v>
      </c>
      <c r="D47" s="27">
        <f t="shared" si="18"/>
        <v>412000</v>
      </c>
      <c r="E47" s="27">
        <f t="array" ref="E47">IFERROR(MEDIAN(IF(d_month=$A47,d_price)),"")</f>
        <v>440000</v>
      </c>
      <c r="F47" s="28">
        <f t="shared" si="19"/>
        <v>59.272727272727273</v>
      </c>
      <c r="G47" s="29">
        <f t="shared" si="20"/>
        <v>0.97155679483234259</v>
      </c>
      <c r="H47" s="27">
        <f t="shared" si="23"/>
        <v>427852.9411764706</v>
      </c>
      <c r="I47" s="69" t="str">
        <f t="shared" si="21"/>
        <v>Jun-25</v>
      </c>
    </row>
    <row r="48" spans="1:10" x14ac:dyDescent="0.35">
      <c r="A48" s="68">
        <f t="shared" si="22"/>
        <v>45839</v>
      </c>
      <c r="B48" s="26">
        <f t="shared" si="16"/>
        <v>15</v>
      </c>
      <c r="C48" s="27">
        <f t="shared" si="17"/>
        <v>5009000</v>
      </c>
      <c r="D48" s="27">
        <f t="shared" si="18"/>
        <v>333933.33333333331</v>
      </c>
      <c r="E48" s="27">
        <f t="array" ref="E48">IFERROR(MEDIAN(IF(d_month=$A48,d_price)),"")</f>
        <v>317000</v>
      </c>
      <c r="F48" s="28">
        <f t="shared" si="19"/>
        <v>55.928571428571431</v>
      </c>
      <c r="G48" s="29">
        <f t="shared" si="20"/>
        <v>0.95814605750184467</v>
      </c>
      <c r="H48" s="27">
        <f t="shared" si="23"/>
        <v>383333.33333333331</v>
      </c>
      <c r="I48" s="69" t="str">
        <f t="shared" si="21"/>
        <v>Jul-25</v>
      </c>
    </row>
    <row r="49" spans="1:9" x14ac:dyDescent="0.35">
      <c r="A49" s="68">
        <f t="shared" si="22"/>
        <v>45870</v>
      </c>
      <c r="B49" s="26">
        <f t="shared" si="16"/>
        <v>13</v>
      </c>
      <c r="C49" s="27">
        <f t="shared" si="17"/>
        <v>5202000</v>
      </c>
      <c r="D49" s="27">
        <f t="shared" si="18"/>
        <v>400153.84615384613</v>
      </c>
      <c r="E49" s="27">
        <f t="array" ref="E49">IFERROR(MEDIAN(IF(d_month=$A49,d_price)),"")</f>
        <v>373000</v>
      </c>
      <c r="F49" s="28">
        <f t="shared" si="19"/>
        <v>57.230769230769234</v>
      </c>
      <c r="G49" s="29">
        <f t="shared" si="20"/>
        <v>0.980635778612577</v>
      </c>
      <c r="H49" s="27">
        <f t="shared" si="23"/>
        <v>378025.641025641</v>
      </c>
      <c r="I49" s="69" t="str">
        <f t="shared" si="21"/>
        <v>Aug-25</v>
      </c>
    </row>
    <row r="50" spans="1:9" x14ac:dyDescent="0.35">
      <c r="A50" s="68">
        <f t="shared" si="22"/>
        <v>45901</v>
      </c>
      <c r="B50" s="26">
        <f t="shared" si="16"/>
        <v>12</v>
      </c>
      <c r="C50" s="27">
        <f t="shared" si="17"/>
        <v>4268000</v>
      </c>
      <c r="D50" s="27">
        <f t="shared" si="18"/>
        <v>355666.66666666669</v>
      </c>
      <c r="E50" s="27">
        <f t="array" ref="E50">IFERROR(MEDIAN(IF(d_month=$A50,d_price)),"")</f>
        <v>367500</v>
      </c>
      <c r="F50" s="28">
        <f t="shared" si="19"/>
        <v>49.583333333333336</v>
      </c>
      <c r="G50" s="29">
        <f t="shared" si="20"/>
        <v>0.97953162414604067</v>
      </c>
      <c r="H50" s="27">
        <f t="shared" si="23"/>
        <v>361975</v>
      </c>
      <c r="I50" s="69" t="str">
        <f t="shared" si="21"/>
        <v>Sep-25</v>
      </c>
    </row>
    <row r="51" spans="1:9" x14ac:dyDescent="0.35">
      <c r="A51" s="68">
        <f t="shared" si="22"/>
        <v>45931</v>
      </c>
      <c r="B51" s="26">
        <f t="shared" si="16"/>
        <v>13</v>
      </c>
      <c r="C51" s="27">
        <f t="shared" si="17"/>
        <v>5222000</v>
      </c>
      <c r="D51" s="27">
        <f t="shared" si="18"/>
        <v>401692.30769230769</v>
      </c>
      <c r="E51" s="27">
        <f t="array" ref="E51">IFERROR(MEDIAN(IF(d_month=$A51,d_price)),"")</f>
        <v>422000</v>
      </c>
      <c r="F51" s="28">
        <f t="shared" si="19"/>
        <v>45.46153846153846</v>
      </c>
      <c r="G51" s="29">
        <f t="shared" si="20"/>
        <v>0.99006871377560912</v>
      </c>
      <c r="H51" s="27">
        <f t="shared" si="23"/>
        <v>386631.57894736843</v>
      </c>
      <c r="I51" s="69" t="str">
        <f t="shared" si="21"/>
        <v>Oct-25</v>
      </c>
    </row>
    <row r="52" spans="1:9" x14ac:dyDescent="0.35">
      <c r="A52" s="68">
        <f t="shared" si="22"/>
        <v>45962</v>
      </c>
      <c r="B52" s="26">
        <f t="shared" si="16"/>
        <v>11</v>
      </c>
      <c r="C52" s="27">
        <f t="shared" si="17"/>
        <v>4221000</v>
      </c>
      <c r="D52" s="27">
        <f t="shared" si="18"/>
        <v>383727.27272727271</v>
      </c>
      <c r="E52" s="27">
        <f t="array" ref="E52">IFERROR(MEDIAN(IF(d_month=$A52,d_price)),"")</f>
        <v>329000</v>
      </c>
      <c r="F52" s="28">
        <f t="shared" si="19"/>
        <v>96.5</v>
      </c>
      <c r="G52" s="29">
        <f t="shared" si="20"/>
        <v>0.96472887767545512</v>
      </c>
      <c r="H52" s="27">
        <f t="shared" si="23"/>
        <v>380861.11111111112</v>
      </c>
      <c r="I52" s="69" t="str">
        <f t="shared" si="21"/>
        <v>Nov-25</v>
      </c>
    </row>
    <row r="53" spans="1:9" x14ac:dyDescent="0.35">
      <c r="A53" s="68">
        <f t="shared" si="22"/>
        <v>45992</v>
      </c>
      <c r="B53" s="26">
        <f t="shared" si="16"/>
        <v>7</v>
      </c>
      <c r="C53" s="27">
        <f t="shared" si="17"/>
        <v>2504000</v>
      </c>
      <c r="D53" s="27">
        <f t="shared" si="18"/>
        <v>357714.28571428574</v>
      </c>
      <c r="E53" s="27">
        <f t="array" ref="E53">IFERROR(MEDIAN(IF(d_month=$A53,d_price)),"")</f>
        <v>401000</v>
      </c>
      <c r="F53" s="28">
        <f t="shared" si="19"/>
        <v>63.714285714285715</v>
      </c>
      <c r="G53" s="29">
        <f t="shared" si="20"/>
        <v>0.97114190911790665</v>
      </c>
      <c r="H53" s="27">
        <f t="shared" si="23"/>
        <v>385387.09677419357</v>
      </c>
      <c r="I53" s="69" t="str">
        <f t="shared" si="21"/>
        <v>Dec-25</v>
      </c>
    </row>
    <row r="54" spans="1:9" x14ac:dyDescent="0.35">
      <c r="A54" s="68">
        <f t="shared" si="22"/>
        <v>46023</v>
      </c>
      <c r="B54" s="26">
        <f t="shared" si="16"/>
        <v>18</v>
      </c>
      <c r="C54" s="27">
        <f t="shared" si="17"/>
        <v>7468000</v>
      </c>
      <c r="D54" s="27">
        <f t="shared" si="18"/>
        <v>414888.88888888888</v>
      </c>
      <c r="E54" s="27">
        <f t="array" ref="E54">IFERROR(MEDIAN(IF(d_month=$A54,d_price)),"")</f>
        <v>383000</v>
      </c>
      <c r="F54" s="28">
        <f t="shared" si="19"/>
        <v>59.294117647058826</v>
      </c>
      <c r="G54" s="29">
        <f t="shared" si="20"/>
        <v>0.9804714096165057</v>
      </c>
      <c r="H54" s="27">
        <f t="shared" si="23"/>
        <v>394250</v>
      </c>
      <c r="I54" s="69" t="str">
        <f t="shared" si="21"/>
        <v>Jan-26</v>
      </c>
    </row>
    <row r="55" spans="1:9" x14ac:dyDescent="0.35">
      <c r="A55" s="68">
        <f t="shared" si="22"/>
        <v>46054</v>
      </c>
      <c r="B55" s="26">
        <f t="shared" si="16"/>
        <v>9</v>
      </c>
      <c r="C55" s="27">
        <f t="shared" si="17"/>
        <v>3814000</v>
      </c>
      <c r="D55" s="27">
        <f t="shared" si="18"/>
        <v>423777.77777777775</v>
      </c>
      <c r="E55" s="27">
        <f t="array" ref="E55">IFERROR(MEDIAN(IF(d_month=$A55,d_price)),"")</f>
        <v>436000</v>
      </c>
      <c r="F55" s="28">
        <f t="shared" si="19"/>
        <v>59.25</v>
      </c>
      <c r="G55" s="29">
        <f t="shared" si="20"/>
        <v>0.96375943617121274</v>
      </c>
      <c r="H55" s="27">
        <f t="shared" si="23"/>
        <v>405470.5882352941</v>
      </c>
      <c r="I55" s="69" t="str">
        <f t="shared" si="21"/>
        <v>Feb-26</v>
      </c>
    </row>
    <row r="56" spans="1:9" x14ac:dyDescent="0.35">
      <c r="A56" s="68">
        <f t="shared" si="22"/>
        <v>46082</v>
      </c>
      <c r="B56" s="26">
        <f t="shared" si="16"/>
        <v>10</v>
      </c>
      <c r="C56" s="27">
        <f t="shared" si="17"/>
        <v>3779000</v>
      </c>
      <c r="D56" s="27">
        <f t="shared" si="18"/>
        <v>377900</v>
      </c>
      <c r="E56" s="27">
        <f t="array" ref="E56">IFERROR(MEDIAN(IF(d_month=$A56,d_price)),"")</f>
        <v>327500</v>
      </c>
      <c r="F56" s="28">
        <f t="shared" si="19"/>
        <v>53.8</v>
      </c>
      <c r="G56" s="29">
        <f t="shared" si="20"/>
        <v>0.9781673868437506</v>
      </c>
      <c r="H56" s="27">
        <f t="shared" si="23"/>
        <v>407054.05405405408</v>
      </c>
      <c r="I56" s="69" t="str">
        <f t="shared" si="21"/>
        <v>Mar-26</v>
      </c>
    </row>
    <row r="57" spans="1:9" x14ac:dyDescent="0.35">
      <c r="A57" s="68">
        <f t="shared" si="22"/>
        <v>46113</v>
      </c>
      <c r="B57" s="26">
        <f t="shared" si="16"/>
        <v>9</v>
      </c>
      <c r="C57" s="27">
        <f t="shared" si="17"/>
        <v>2767000</v>
      </c>
      <c r="D57" s="27">
        <f t="shared" si="18"/>
        <v>307444.44444444444</v>
      </c>
      <c r="E57" s="27">
        <f t="array" ref="E57">IFERROR(MEDIAN(IF(d_month=$A57,d_price)),"")</f>
        <v>328000</v>
      </c>
      <c r="F57" s="28">
        <f t="shared" si="19"/>
        <v>44.875</v>
      </c>
      <c r="G57" s="29">
        <f t="shared" si="20"/>
        <v>0.97049760674024788</v>
      </c>
      <c r="H57" s="27">
        <f t="shared" si="23"/>
        <v>370000</v>
      </c>
      <c r="I57" s="69" t="str">
        <f t="shared" si="21"/>
        <v>Apr-26</v>
      </c>
    </row>
    <row r="58" spans="1:9" x14ac:dyDescent="0.35">
      <c r="A58" s="68">
        <f t="shared" si="22"/>
        <v>46143</v>
      </c>
      <c r="B58" s="26">
        <f t="shared" si="16"/>
        <v>16</v>
      </c>
      <c r="C58" s="27">
        <f t="shared" si="17"/>
        <v>5872000</v>
      </c>
      <c r="D58" s="27">
        <f t="shared" si="18"/>
        <v>367000</v>
      </c>
      <c r="E58" s="27">
        <f t="array" ref="E58">IFERROR(MEDIAN(IF(d_month=$A58,d_price)),"")</f>
        <v>371000</v>
      </c>
      <c r="F58" s="28">
        <f t="shared" si="19"/>
        <v>55.6875</v>
      </c>
      <c r="G58" s="29">
        <f t="shared" si="20"/>
        <v>0.98026520258371819</v>
      </c>
      <c r="H58" s="27">
        <f t="shared" si="23"/>
        <v>354800</v>
      </c>
      <c r="I58" s="69" t="str">
        <f t="shared" si="21"/>
        <v>May-26</v>
      </c>
    </row>
    <row r="59" spans="1:9" x14ac:dyDescent="0.35">
      <c r="A59" s="68">
        <f t="shared" si="22"/>
        <v>46174</v>
      </c>
      <c r="B59" s="26">
        <f t="shared" si="16"/>
        <v>9</v>
      </c>
      <c r="C59" s="27">
        <f t="shared" si="17"/>
        <v>3197000</v>
      </c>
      <c r="D59" s="27">
        <f t="shared" si="18"/>
        <v>355222.22222222225</v>
      </c>
      <c r="E59" s="27">
        <f t="array" ref="E59">IFERROR(MEDIAN(IF(d_month=$A59,d_price)),"")</f>
        <v>364000</v>
      </c>
      <c r="F59" s="28">
        <f t="shared" si="19"/>
        <v>51.333333333333336</v>
      </c>
      <c r="G59" s="29">
        <f t="shared" si="20"/>
        <v>0.9635090797044471</v>
      </c>
      <c r="H59" s="27">
        <f t="shared" si="23"/>
        <v>348117.64705882355</v>
      </c>
      <c r="I59" s="69" t="str">
        <f t="shared" si="21"/>
        <v>Jun-26</v>
      </c>
    </row>
    <row r="60" spans="1:9" x14ac:dyDescent="0.35">
      <c r="A60" s="68">
        <f t="shared" si="22"/>
        <v>46204</v>
      </c>
      <c r="B60" s="26">
        <f t="shared" si="16"/>
        <v>21</v>
      </c>
      <c r="C60" s="27">
        <f t="shared" si="17"/>
        <v>6945000</v>
      </c>
      <c r="D60" s="27">
        <f t="shared" si="18"/>
        <v>330714.28571428574</v>
      </c>
      <c r="E60" s="27">
        <f t="array" ref="E60">IFERROR(MEDIAN(IF(d_month=$A60,d_price)),"")</f>
        <v>343000</v>
      </c>
      <c r="F60" s="28">
        <f t="shared" si="19"/>
        <v>63.05</v>
      </c>
      <c r="G60" s="29">
        <f t="shared" si="20"/>
        <v>0.97610162394685729</v>
      </c>
      <c r="H60" s="27">
        <f t="shared" si="23"/>
        <v>348130.4347826087</v>
      </c>
      <c r="I60" s="69" t="str">
        <f t="shared" si="21"/>
        <v>Jul-26</v>
      </c>
    </row>
    <row r="61" spans="1:9" x14ac:dyDescent="0.35">
      <c r="A61" s="68">
        <f t="shared" si="22"/>
        <v>46235</v>
      </c>
      <c r="B61" s="26">
        <f t="shared" si="16"/>
        <v>5</v>
      </c>
      <c r="C61" s="27">
        <f t="shared" si="17"/>
        <v>2119000</v>
      </c>
      <c r="D61" s="27">
        <f t="shared" si="18"/>
        <v>423800</v>
      </c>
      <c r="E61" s="27">
        <f t="array" ref="E61">IFERROR(MEDIAN(IF(d_month=$A61,d_price)),"")</f>
        <v>355000</v>
      </c>
      <c r="F61" s="28">
        <f t="shared" si="19"/>
        <v>60.8</v>
      </c>
      <c r="G61" s="29">
        <f t="shared" si="20"/>
        <v>0.98830452815085967</v>
      </c>
      <c r="H61" s="27">
        <f t="shared" si="23"/>
        <v>350314.28571428574</v>
      </c>
      <c r="I61" s="69" t="str">
        <f t="shared" si="21"/>
        <v>Aug-26</v>
      </c>
    </row>
    <row r="62" spans="1:9" x14ac:dyDescent="0.35">
      <c r="A62" s="38" t="s">
        <v>206</v>
      </c>
    </row>
    <row r="64" spans="1:9" x14ac:dyDescent="0.35">
      <c r="A64" s="65" t="s">
        <v>207</v>
      </c>
      <c r="B64" s="66"/>
      <c r="C64" s="66"/>
      <c r="D64" s="66"/>
      <c r="E64" s="66"/>
      <c r="F64" s="66"/>
    </row>
    <row r="65" spans="1:8" ht="30" customHeight="1" x14ac:dyDescent="0.35">
      <c r="A65" s="23" t="s">
        <v>208</v>
      </c>
      <c r="B65" s="24" t="s">
        <v>209</v>
      </c>
      <c r="C65" s="24" t="s">
        <v>48</v>
      </c>
      <c r="D65" s="24" t="s">
        <v>67</v>
      </c>
      <c r="E65" s="24" t="s">
        <v>69</v>
      </c>
      <c r="F65" s="24" t="s">
        <v>52</v>
      </c>
    </row>
    <row r="66" spans="1:8" x14ac:dyDescent="0.35">
      <c r="A66" s="70" t="s">
        <v>210</v>
      </c>
      <c r="B66" s="71">
        <v>0</v>
      </c>
      <c r="C66" s="26">
        <f t="shared" ref="C66:C72" si="24">COUNTIF(d_band,$A66)</f>
        <v>17</v>
      </c>
      <c r="D66" s="29">
        <f t="shared" ref="D66:D72" si="25">C66/SUM($C$66:$C$72)</f>
        <v>6.8000000000000005E-2</v>
      </c>
      <c r="E66" s="27">
        <f t="shared" ref="E66:E72" si="26">IFERROR(AVERAGEIFS(d_psf,d_band,$A66),"")</f>
        <v>208.59442243836492</v>
      </c>
      <c r="F66" s="28">
        <f t="shared" ref="F66:F72" si="27">IFERROR(AVERAGEIFS(d_dom,d_band,$A66),"")</f>
        <v>69.705882352941174</v>
      </c>
    </row>
    <row r="67" spans="1:8" x14ac:dyDescent="0.35">
      <c r="A67" s="70" t="s">
        <v>211</v>
      </c>
      <c r="B67" s="71">
        <v>200000</v>
      </c>
      <c r="C67" s="26">
        <f t="shared" si="24"/>
        <v>47</v>
      </c>
      <c r="D67" s="29">
        <f t="shared" si="25"/>
        <v>0.188</v>
      </c>
      <c r="E67" s="27">
        <f t="shared" si="26"/>
        <v>200.7954139985211</v>
      </c>
      <c r="F67" s="28">
        <f t="shared" si="27"/>
        <v>64.744186046511629</v>
      </c>
    </row>
    <row r="68" spans="1:8" x14ac:dyDescent="0.35">
      <c r="A68" s="70" t="s">
        <v>212</v>
      </c>
      <c r="B68" s="71">
        <v>300000</v>
      </c>
      <c r="C68" s="26">
        <f t="shared" si="24"/>
        <v>89</v>
      </c>
      <c r="D68" s="29">
        <f t="shared" si="25"/>
        <v>0.35599999999999998</v>
      </c>
      <c r="E68" s="27">
        <f t="shared" si="26"/>
        <v>216.53975178459072</v>
      </c>
      <c r="F68" s="28">
        <f t="shared" si="27"/>
        <v>54.747126436781606</v>
      </c>
    </row>
    <row r="69" spans="1:8" x14ac:dyDescent="0.35">
      <c r="A69" s="70" t="s">
        <v>213</v>
      </c>
      <c r="B69" s="71">
        <v>400000</v>
      </c>
      <c r="C69" s="26">
        <f t="shared" si="24"/>
        <v>57</v>
      </c>
      <c r="D69" s="29">
        <f t="shared" si="25"/>
        <v>0.22800000000000001</v>
      </c>
      <c r="E69" s="27">
        <f t="shared" si="26"/>
        <v>239.24878430203646</v>
      </c>
      <c r="F69" s="28">
        <f t="shared" si="27"/>
        <v>53.836363636363636</v>
      </c>
    </row>
    <row r="70" spans="1:8" x14ac:dyDescent="0.35">
      <c r="A70" s="70" t="s">
        <v>214</v>
      </c>
      <c r="B70" s="71">
        <v>500000</v>
      </c>
      <c r="C70" s="26">
        <f t="shared" si="24"/>
        <v>25</v>
      </c>
      <c r="D70" s="29">
        <f t="shared" si="25"/>
        <v>0.1</v>
      </c>
      <c r="E70" s="27">
        <f t="shared" si="26"/>
        <v>248.82453584487178</v>
      </c>
      <c r="F70" s="28">
        <f t="shared" si="27"/>
        <v>54.92</v>
      </c>
    </row>
    <row r="71" spans="1:8" x14ac:dyDescent="0.35">
      <c r="A71" s="70" t="s">
        <v>215</v>
      </c>
      <c r="B71" s="71">
        <v>600000</v>
      </c>
      <c r="C71" s="26">
        <f t="shared" si="24"/>
        <v>13</v>
      </c>
      <c r="D71" s="29">
        <f t="shared" si="25"/>
        <v>5.1999999999999998E-2</v>
      </c>
      <c r="E71" s="27">
        <f t="shared" si="26"/>
        <v>271.61687775431977</v>
      </c>
      <c r="F71" s="28">
        <f t="shared" si="27"/>
        <v>54.769230769230766</v>
      </c>
    </row>
    <row r="72" spans="1:8" x14ac:dyDescent="0.35">
      <c r="A72" s="70" t="s">
        <v>216</v>
      </c>
      <c r="B72" s="71">
        <v>800000</v>
      </c>
      <c r="C72" s="26">
        <f t="shared" si="24"/>
        <v>2</v>
      </c>
      <c r="D72" s="29">
        <f t="shared" si="25"/>
        <v>8.0000000000000002E-3</v>
      </c>
      <c r="E72" s="27">
        <f t="shared" si="26"/>
        <v>415.86986940298505</v>
      </c>
      <c r="F72" s="28">
        <f t="shared" si="27"/>
        <v>53</v>
      </c>
    </row>
    <row r="75" spans="1:8" x14ac:dyDescent="0.35">
      <c r="A75" s="65" t="s">
        <v>217</v>
      </c>
      <c r="B75" s="66"/>
      <c r="C75" s="66"/>
      <c r="D75" s="66"/>
      <c r="E75" s="66"/>
      <c r="F75" s="66"/>
      <c r="G75" s="66"/>
      <c r="H75" s="66"/>
    </row>
    <row r="76" spans="1:8" ht="30" customHeight="1" x14ac:dyDescent="0.35">
      <c r="A76" s="23" t="s">
        <v>218</v>
      </c>
      <c r="B76" s="24" t="s">
        <v>219</v>
      </c>
      <c r="C76" s="24" t="s">
        <v>220</v>
      </c>
      <c r="D76" s="24" t="s">
        <v>48</v>
      </c>
      <c r="E76" s="24" t="s">
        <v>50</v>
      </c>
      <c r="F76" s="24" t="s">
        <v>69</v>
      </c>
      <c r="G76" s="24" t="s">
        <v>52</v>
      </c>
      <c r="H76" s="24" t="s">
        <v>106</v>
      </c>
    </row>
    <row r="77" spans="1:8" x14ac:dyDescent="0.35">
      <c r="A77" s="72" t="s">
        <v>221</v>
      </c>
      <c r="B77" s="73">
        <v>1900</v>
      </c>
      <c r="C77" s="73">
        <v>1959</v>
      </c>
      <c r="D77" s="26">
        <f>COUNTIFS(d_year,"&gt;="&amp;$B77,d_year,"&lt;="&amp;$C77)</f>
        <v>31</v>
      </c>
      <c r="E77" s="27">
        <f>IFERROR(AVERAGEIFS(d_price,d_year,"&gt;="&amp;$B77,d_year,"&lt;="&amp;$C77),"")</f>
        <v>379870.96774193546</v>
      </c>
      <c r="F77" s="27">
        <f>IFERROR(AVERAGEIFS(d_psf,d_year,"&gt;="&amp;$B77,d_year,"&lt;="&amp;$C77),"")</f>
        <v>215.43343094218739</v>
      </c>
      <c r="G77" s="28">
        <f>IFERROR(AVERAGEIFS(d_dom,d_year,"&gt;="&amp;$B77,d_year,"&lt;="&amp;$C77),"")</f>
        <v>57.766666666666666</v>
      </c>
      <c r="H77" s="29">
        <f>IFERROR(AVERAGEIFS(d_stl,d_year,"&gt;="&amp;$B77,d_year,"&lt;="&amp;$C77),"")</f>
        <v>0.98000880114954136</v>
      </c>
    </row>
    <row r="78" spans="1:8" x14ac:dyDescent="0.35">
      <c r="A78" s="72" t="s">
        <v>222</v>
      </c>
      <c r="B78" s="73">
        <v>1960</v>
      </c>
      <c r="C78" s="73">
        <v>1979</v>
      </c>
      <c r="D78" s="26">
        <f>COUNTIFS(d_year,"&gt;="&amp;$B78,d_year,"&lt;="&amp;$C78)</f>
        <v>42</v>
      </c>
      <c r="E78" s="27">
        <f>IFERROR(AVERAGEIFS(d_price,d_year,"&gt;="&amp;$B78,d_year,"&lt;="&amp;$C78),"")</f>
        <v>361380.95238095237</v>
      </c>
      <c r="F78" s="27">
        <f>IFERROR(AVERAGEIFS(d_psf,d_year,"&gt;="&amp;$B78,d_year,"&lt;="&amp;$C78),"")</f>
        <v>221.7138181110077</v>
      </c>
      <c r="G78" s="28">
        <f>IFERROR(AVERAGEIFS(d_dom,d_year,"&gt;="&amp;$B78,d_year,"&lt;="&amp;$C78),"")</f>
        <v>66.55</v>
      </c>
      <c r="H78" s="29">
        <f>IFERROR(AVERAGEIFS(d_stl,d_year,"&gt;="&amp;$B78,d_year,"&lt;="&amp;$C78),"")</f>
        <v>0.97091130275847792</v>
      </c>
    </row>
    <row r="79" spans="1:8" x14ac:dyDescent="0.35">
      <c r="A79" s="72" t="s">
        <v>223</v>
      </c>
      <c r="B79" s="73">
        <v>1980</v>
      </c>
      <c r="C79" s="73">
        <v>1999</v>
      </c>
      <c r="D79" s="26">
        <f>COUNTIFS(d_year,"&gt;="&amp;$B79,d_year,"&lt;="&amp;$C79)</f>
        <v>66</v>
      </c>
      <c r="E79" s="27">
        <f>IFERROR(AVERAGEIFS(d_price,d_year,"&gt;="&amp;$B79,d_year,"&lt;="&amp;$C79),"")</f>
        <v>358878.7878787879</v>
      </c>
      <c r="F79" s="27">
        <f>IFERROR(AVERAGEIFS(d_psf,d_year,"&gt;="&amp;$B79,d_year,"&lt;="&amp;$C79),"")</f>
        <v>223.94036762770753</v>
      </c>
      <c r="G79" s="28">
        <f>IFERROR(AVERAGEIFS(d_dom,d_year,"&gt;="&amp;$B79,d_year,"&lt;="&amp;$C79),"")</f>
        <v>50.968253968253968</v>
      </c>
      <c r="H79" s="29">
        <f>IFERROR(AVERAGEIFS(d_stl,d_year,"&gt;="&amp;$B79,d_year,"&lt;="&amp;$C79),"")</f>
        <v>0.97426045228991465</v>
      </c>
    </row>
    <row r="80" spans="1:8" x14ac:dyDescent="0.35">
      <c r="A80" s="72" t="s">
        <v>224</v>
      </c>
      <c r="B80" s="73">
        <v>2000</v>
      </c>
      <c r="C80" s="73">
        <v>2014</v>
      </c>
      <c r="D80" s="26">
        <f>COUNTIFS(d_year,"&gt;="&amp;$B80,d_year,"&lt;="&amp;$C80)</f>
        <v>53</v>
      </c>
      <c r="E80" s="27">
        <f>IFERROR(AVERAGEIFS(d_price,d_year,"&gt;="&amp;$B80,d_year,"&lt;="&amp;$C80),"")</f>
        <v>409283.01886792452</v>
      </c>
      <c r="F80" s="27">
        <f>IFERROR(AVERAGEIFS(d_psf,d_year,"&gt;="&amp;$B80,d_year,"&lt;="&amp;$C80),"")</f>
        <v>234.78851401693242</v>
      </c>
      <c r="G80" s="28">
        <f>IFERROR(AVERAGEIFS(d_dom,d_year,"&gt;="&amp;$B80,d_year,"&lt;="&amp;$C80),"")</f>
        <v>58.78846153846154</v>
      </c>
      <c r="H80" s="29">
        <f>IFERROR(AVERAGEIFS(d_stl,d_year,"&gt;="&amp;$B80,d_year,"&lt;="&amp;$C80),"")</f>
        <v>0.97633461681751432</v>
      </c>
    </row>
    <row r="81" spans="1:8" x14ac:dyDescent="0.35">
      <c r="A81" s="72" t="s">
        <v>225</v>
      </c>
      <c r="B81" s="73">
        <v>2015</v>
      </c>
      <c r="C81" s="73">
        <v>2100</v>
      </c>
      <c r="D81" s="26">
        <f>COUNTIFS(d_year,"&gt;="&amp;$B81,d_year,"&lt;="&amp;$C81)</f>
        <v>45</v>
      </c>
      <c r="E81" s="27">
        <f>IFERROR(AVERAGEIFS(d_price,d_year,"&gt;="&amp;$B81,d_year,"&lt;="&amp;$C81),"")</f>
        <v>461466.66666666669</v>
      </c>
      <c r="F81" s="27">
        <f>IFERROR(AVERAGEIFS(d_psf,d_year,"&gt;="&amp;$B81,d_year,"&lt;="&amp;$C81),"")</f>
        <v>238.20316314580595</v>
      </c>
      <c r="G81" s="28">
        <f>IFERROR(AVERAGEIFS(d_dom,d_year,"&gt;="&amp;$B81,d_year,"&lt;="&amp;$C81),"")</f>
        <v>57.022727272727273</v>
      </c>
      <c r="H81" s="29">
        <f>IFERROR(AVERAGEIFS(d_stl,d_year,"&gt;="&amp;$B81,d_year,"&lt;="&amp;$C81),"")</f>
        <v>0.97769369485739444</v>
      </c>
    </row>
    <row r="84" spans="1:8" x14ac:dyDescent="0.35">
      <c r="A84" s="65" t="s">
        <v>226</v>
      </c>
      <c r="B84" s="66"/>
      <c r="C84" s="66"/>
      <c r="D84" s="66"/>
      <c r="E84" s="66"/>
      <c r="F84" s="66"/>
    </row>
    <row r="85" spans="1:8" ht="30" customHeight="1" x14ac:dyDescent="0.35">
      <c r="A85" s="23" t="s">
        <v>25</v>
      </c>
      <c r="B85" s="24" t="s">
        <v>26</v>
      </c>
      <c r="C85" s="24" t="s">
        <v>27</v>
      </c>
      <c r="D85" s="24" t="s">
        <v>28</v>
      </c>
      <c r="E85" s="24" t="s">
        <v>29</v>
      </c>
    </row>
    <row r="86" spans="1:8" x14ac:dyDescent="0.35">
      <c r="A86" s="74" t="s">
        <v>72</v>
      </c>
      <c r="B86" s="27">
        <f t="shared" ref="B86:D90" si="28">IFERROR(AVERAGEIFS(d_price,d_nbhd,$A86,d_type,B$85),"")</f>
        <v>168444.44444444444</v>
      </c>
      <c r="C86" s="27">
        <f t="shared" si="28"/>
        <v>333120</v>
      </c>
      <c r="D86" s="27">
        <f t="shared" si="28"/>
        <v>259200</v>
      </c>
      <c r="E86" s="27">
        <f>IFERROR(AVERAGEIFS(d_price,d_nbhd,$A86),"")</f>
        <v>285641.02564102563</v>
      </c>
    </row>
    <row r="87" spans="1:8" x14ac:dyDescent="0.35">
      <c r="A87" s="74" t="s">
        <v>73</v>
      </c>
      <c r="B87" s="27">
        <f t="shared" si="28"/>
        <v>334950</v>
      </c>
      <c r="C87" s="27">
        <f t="shared" si="28"/>
        <v>576692.30769230775</v>
      </c>
      <c r="D87" s="27">
        <f t="shared" si="28"/>
        <v>427666.66666666669</v>
      </c>
      <c r="E87" s="27">
        <f>IFERROR(AVERAGEIFS(d_price,d_nbhd,$A87),"")</f>
        <v>429972.22222222225</v>
      </c>
    </row>
    <row r="88" spans="1:8" x14ac:dyDescent="0.35">
      <c r="A88" s="74" t="s">
        <v>74</v>
      </c>
      <c r="B88" s="27">
        <f t="shared" si="28"/>
        <v>206714.28571428571</v>
      </c>
      <c r="C88" s="27">
        <f t="shared" si="28"/>
        <v>376633.33333333331</v>
      </c>
      <c r="D88" s="27">
        <f t="shared" si="28"/>
        <v>315714.28571428574</v>
      </c>
      <c r="E88" s="27">
        <f>IFERROR(AVERAGEIFS(d_price,d_nbhd,$A88),"")</f>
        <v>336588.23529411765</v>
      </c>
    </row>
    <row r="89" spans="1:8" x14ac:dyDescent="0.35">
      <c r="A89" s="74" t="s">
        <v>75</v>
      </c>
      <c r="B89" s="27">
        <f t="shared" si="28"/>
        <v>308090.90909090912</v>
      </c>
      <c r="C89" s="27">
        <f t="shared" si="28"/>
        <v>572756.7567567568</v>
      </c>
      <c r="D89" s="27">
        <f t="shared" si="28"/>
        <v>399100</v>
      </c>
      <c r="E89" s="27">
        <f>IFERROR(AVERAGEIFS(d_price,d_nbhd,$A89),"")</f>
        <v>492620.68965517241</v>
      </c>
    </row>
    <row r="90" spans="1:8" x14ac:dyDescent="0.35">
      <c r="A90" s="74" t="s">
        <v>76</v>
      </c>
      <c r="B90" s="27">
        <f t="shared" si="28"/>
        <v>224600</v>
      </c>
      <c r="C90" s="27">
        <f t="shared" si="28"/>
        <v>434128.20512820513</v>
      </c>
      <c r="D90" s="27">
        <f t="shared" si="28"/>
        <v>352153.84615384613</v>
      </c>
      <c r="E90" s="27">
        <f>IFERROR(AVERAGEIFS(d_price,d_nbhd,$A90),"")</f>
        <v>383145.16129032261</v>
      </c>
    </row>
    <row r="91" spans="1:8" x14ac:dyDescent="0.35">
      <c r="A91" s="41" t="s">
        <v>227</v>
      </c>
      <c r="B91" s="34">
        <f>IFERROR(AVERAGEIFS(d_price,d_type,B$85),"")</f>
        <v>268368.42105263157</v>
      </c>
      <c r="C91" s="34">
        <f>IFERROR(AVERAGEIFS(d_price,d_type,C$85),"")</f>
        <v>452575.34246575343</v>
      </c>
      <c r="D91" s="34">
        <f>IFERROR(AVERAGEIFS(d_price,d_type,D$85),"")</f>
        <v>345255.31914893619</v>
      </c>
      <c r="E91" s="34">
        <f>AVERAGE(d_price)</f>
        <v>390400</v>
      </c>
    </row>
    <row r="94" spans="1:8" x14ac:dyDescent="0.35">
      <c r="A94" s="65" t="s">
        <v>228</v>
      </c>
      <c r="B94" s="66"/>
      <c r="C94" s="66"/>
      <c r="D94" s="66"/>
      <c r="E94" s="66"/>
      <c r="F94" s="66"/>
    </row>
    <row r="95" spans="1:8" ht="30" customHeight="1" x14ac:dyDescent="0.35">
      <c r="A95" s="23" t="s">
        <v>25</v>
      </c>
      <c r="B95" s="24" t="s">
        <v>26</v>
      </c>
      <c r="C95" s="24" t="s">
        <v>27</v>
      </c>
      <c r="D95" s="24" t="s">
        <v>28</v>
      </c>
      <c r="E95" s="24" t="s">
        <v>29</v>
      </c>
    </row>
    <row r="96" spans="1:8" x14ac:dyDescent="0.35">
      <c r="A96" s="74" t="s">
        <v>72</v>
      </c>
      <c r="B96" s="27">
        <f t="shared" ref="B96:D100" si="29">IFERROR(AVERAGEIFS(d_psf,d_nbhd,$A96,d_type,B$95),"")</f>
        <v>169.55371158066723</v>
      </c>
      <c r="C96" s="27">
        <f t="shared" si="29"/>
        <v>177.64610613361515</v>
      </c>
      <c r="D96" s="27">
        <f t="shared" si="29"/>
        <v>149.32044144558114</v>
      </c>
      <c r="E96" s="27">
        <f>IFERROR(AVERAGEIFS(d_psf,d_nbhd,$A96),"")</f>
        <v>172.14713499472541</v>
      </c>
    </row>
    <row r="97" spans="1:6" x14ac:dyDescent="0.35">
      <c r="A97" s="74" t="s">
        <v>73</v>
      </c>
      <c r="B97" s="27">
        <f t="shared" si="29"/>
        <v>294.92900347925723</v>
      </c>
      <c r="C97" s="27">
        <f t="shared" si="29"/>
        <v>305.97858869738729</v>
      </c>
      <c r="D97" s="27">
        <f t="shared" si="29"/>
        <v>271.36019039004117</v>
      </c>
      <c r="E97" s="27">
        <f>IFERROR(AVERAGEIFS(d_psf,d_nbhd,$A97),"")</f>
        <v>296.95506371725855</v>
      </c>
    </row>
    <row r="98" spans="1:6" x14ac:dyDescent="0.35">
      <c r="A98" s="74" t="s">
        <v>74</v>
      </c>
      <c r="B98" s="27">
        <f t="shared" si="29"/>
        <v>178.77914891991364</v>
      </c>
      <c r="C98" s="27">
        <f t="shared" si="29"/>
        <v>197.91140311711013</v>
      </c>
      <c r="D98" s="27">
        <f t="shared" si="29"/>
        <v>190.9264019472725</v>
      </c>
      <c r="E98" s="27">
        <f>IFERROR(AVERAGEIFS(d_psf,d_nbhd,$A98),"")</f>
        <v>193.36795614146104</v>
      </c>
    </row>
    <row r="99" spans="1:6" x14ac:dyDescent="0.35">
      <c r="A99" s="74" t="s">
        <v>75</v>
      </c>
      <c r="B99" s="27">
        <f t="shared" si="29"/>
        <v>236.25446343781002</v>
      </c>
      <c r="C99" s="27">
        <f t="shared" si="29"/>
        <v>258.38389208111278</v>
      </c>
      <c r="D99" s="27">
        <f t="shared" si="29"/>
        <v>250.48941657530992</v>
      </c>
      <c r="E99" s="27">
        <f>IFERROR(AVERAGEIFS(d_psf,d_nbhd,$A99),"")</f>
        <v>252.82581500983076</v>
      </c>
    </row>
    <row r="100" spans="1:6" x14ac:dyDescent="0.35">
      <c r="A100" s="74" t="s">
        <v>76</v>
      </c>
      <c r="B100" s="27">
        <f t="shared" si="29"/>
        <v>216.65959961016515</v>
      </c>
      <c r="C100" s="27">
        <f t="shared" si="29"/>
        <v>221.06576177127397</v>
      </c>
      <c r="D100" s="27">
        <f t="shared" si="29"/>
        <v>225.33659505304291</v>
      </c>
      <c r="E100" s="27">
        <f>IFERROR(AVERAGEIFS(d_psf,d_nbhd,$A100),"")</f>
        <v>221.25058775598225</v>
      </c>
    </row>
    <row r="101" spans="1:6" x14ac:dyDescent="0.35">
      <c r="A101" s="41" t="s">
        <v>227</v>
      </c>
      <c r="B101" s="34">
        <f>IFERROR(AVERAGEIFS(d_psf,d_type,B$95),"")</f>
        <v>235.81425631873867</v>
      </c>
      <c r="C101" s="34">
        <f>IFERROR(AVERAGEIFS(d_psf,d_type,C$95),"")</f>
        <v>225.45493899017006</v>
      </c>
      <c r="D101" s="34">
        <f>IFERROR(AVERAGEIFS(d_psf,d_type,D$95),"")</f>
        <v>215.28185311549672</v>
      </c>
      <c r="E101" s="34">
        <f>AVERAGE(d_psf)</f>
        <v>225.90432319664487</v>
      </c>
    </row>
    <row r="104" spans="1:6" x14ac:dyDescent="0.35">
      <c r="A104" s="65" t="s">
        <v>229</v>
      </c>
      <c r="B104" s="66"/>
      <c r="C104" s="66"/>
      <c r="D104" s="66"/>
      <c r="E104" s="66"/>
      <c r="F104" s="66"/>
    </row>
    <row r="105" spans="1:6" ht="30" customHeight="1" x14ac:dyDescent="0.35">
      <c r="A105" s="23" t="s">
        <v>25</v>
      </c>
      <c r="B105" s="24" t="s">
        <v>26</v>
      </c>
      <c r="C105" s="24" t="s">
        <v>27</v>
      </c>
      <c r="D105" s="24" t="s">
        <v>28</v>
      </c>
      <c r="E105" s="24" t="s">
        <v>29</v>
      </c>
    </row>
    <row r="106" spans="1:6" x14ac:dyDescent="0.35">
      <c r="A106" s="74" t="s">
        <v>72</v>
      </c>
      <c r="B106" s="26">
        <f t="shared" ref="B106:D110" si="30">COUNTIFS(d_nbhd,$A106,d_type,B$105)</f>
        <v>9</v>
      </c>
      <c r="C106" s="26">
        <f t="shared" si="30"/>
        <v>25</v>
      </c>
      <c r="D106" s="26">
        <f t="shared" si="30"/>
        <v>5</v>
      </c>
      <c r="E106" s="26">
        <f>COUNTIFS(d_nbhd,$A106)</f>
        <v>39</v>
      </c>
    </row>
    <row r="107" spans="1:6" x14ac:dyDescent="0.35">
      <c r="A107" s="74" t="s">
        <v>73</v>
      </c>
      <c r="B107" s="26">
        <f t="shared" si="30"/>
        <v>20</v>
      </c>
      <c r="C107" s="26">
        <f t="shared" si="30"/>
        <v>13</v>
      </c>
      <c r="D107" s="26">
        <f t="shared" si="30"/>
        <v>3</v>
      </c>
      <c r="E107" s="26">
        <f>COUNTIFS(d_nbhd,$A107)</f>
        <v>36</v>
      </c>
    </row>
    <row r="108" spans="1:6" x14ac:dyDescent="0.35">
      <c r="A108" s="74" t="s">
        <v>74</v>
      </c>
      <c r="B108" s="26">
        <f t="shared" si="30"/>
        <v>7</v>
      </c>
      <c r="C108" s="26">
        <f t="shared" si="30"/>
        <v>30</v>
      </c>
      <c r="D108" s="26">
        <f t="shared" si="30"/>
        <v>14</v>
      </c>
      <c r="E108" s="26">
        <f>COUNTIFS(d_nbhd,$A108)</f>
        <v>51</v>
      </c>
    </row>
    <row r="109" spans="1:6" x14ac:dyDescent="0.35">
      <c r="A109" s="74" t="s">
        <v>75</v>
      </c>
      <c r="B109" s="26">
        <f t="shared" si="30"/>
        <v>11</v>
      </c>
      <c r="C109" s="26">
        <f t="shared" si="30"/>
        <v>37</v>
      </c>
      <c r="D109" s="26">
        <f t="shared" si="30"/>
        <v>10</v>
      </c>
      <c r="E109" s="26">
        <f>COUNTIFS(d_nbhd,$A109)</f>
        <v>58</v>
      </c>
    </row>
    <row r="110" spans="1:6" x14ac:dyDescent="0.35">
      <c r="A110" s="74" t="s">
        <v>76</v>
      </c>
      <c r="B110" s="26">
        <f t="shared" si="30"/>
        <v>10</v>
      </c>
      <c r="C110" s="26">
        <f t="shared" si="30"/>
        <v>39</v>
      </c>
      <c r="D110" s="26">
        <f t="shared" si="30"/>
        <v>13</v>
      </c>
      <c r="E110" s="26">
        <f>COUNTIFS(d_nbhd,$A110)</f>
        <v>62</v>
      </c>
    </row>
    <row r="111" spans="1:6" x14ac:dyDescent="0.35">
      <c r="A111" s="41" t="s">
        <v>227</v>
      </c>
      <c r="B111" s="33">
        <f>COUNTIFS(d_type,B$105)</f>
        <v>57</v>
      </c>
      <c r="C111" s="33">
        <f>COUNTIFS(d_type,C$105)</f>
        <v>146</v>
      </c>
      <c r="D111" s="33">
        <f>COUNTIFS(d_type,D$105)</f>
        <v>47</v>
      </c>
      <c r="E111" s="33">
        <f>COUNT(d_price)</f>
        <v>250</v>
      </c>
    </row>
  </sheetData>
  <conditionalFormatting sqref="B86:D90">
    <cfRule type="colorScale" priority="6">
      <colorScale>
        <cfvo type="min"/>
        <cfvo type="percentile" val="50"/>
        <cfvo type="max"/>
        <color rgb="FFFFFFFF"/>
        <color rgb="FFCDE8E4"/>
        <color rgb="FF2A9D8F"/>
      </colorScale>
    </cfRule>
  </conditionalFormatting>
  <conditionalFormatting sqref="B96:D100">
    <cfRule type="colorScale" priority="7">
      <colorScale>
        <cfvo type="min"/>
        <cfvo type="percentile" val="50"/>
        <cfvo type="max"/>
        <color rgb="FFFFFFFF"/>
        <color rgb="FFCDE8E4"/>
        <color rgb="FF2A9D8F"/>
      </colorScale>
    </cfRule>
  </conditionalFormatting>
  <conditionalFormatting sqref="B106:D110">
    <cfRule type="colorScale" priority="8">
      <colorScale>
        <cfvo type="min"/>
        <cfvo type="percentile" val="50"/>
        <cfvo type="max"/>
        <color rgb="FFFFFFFF"/>
        <color rgb="FFCDE8E4"/>
        <color rgb="FF2A9D8F"/>
      </colorScale>
    </cfRule>
  </conditionalFormatting>
  <conditionalFormatting sqref="E6:E11">
    <cfRule type="dataBar" priority="2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{EDECF7E0-90D0-4C80-ADF4-793296804AD6}</x14:id>
        </ext>
      </extLst>
    </cfRule>
  </conditionalFormatting>
  <conditionalFormatting sqref="E16:E18">
    <cfRule type="dataBar" priority="3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{3A804A23-B1EC-4854-8A57-405B7F4BB7A5}</x14:id>
        </ext>
      </extLst>
    </cfRule>
  </conditionalFormatting>
  <conditionalFormatting sqref="E23:E27">
    <cfRule type="dataBar" priority="4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{B0E68322-F852-4EE2-BC50-FE5862CFD9F8}</x14:id>
        </ext>
      </extLst>
    </cfRule>
  </conditionalFormatting>
  <conditionalFormatting sqref="E32:E37">
    <cfRule type="dataBar" priority="5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{B280551A-D672-4CA8-BC27-2A27F3953CF3}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EDECF7E0-90D0-4C80-ADF4-793296804AD6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E6:E11</xm:sqref>
        </x14:conditionalFormatting>
        <x14:conditionalFormatting xmlns:xm="http://schemas.microsoft.com/office/excel/2006/main">
          <x14:cfRule type="dataBar" id="{3A804A23-B1EC-4854-8A57-405B7F4BB7A5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E16:E18</xm:sqref>
        </x14:conditionalFormatting>
        <x14:conditionalFormatting xmlns:xm="http://schemas.microsoft.com/office/excel/2006/main">
          <x14:cfRule type="dataBar" id="{B0E68322-F852-4EE2-BC50-FE5862CFD9F8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E23:E27</xm:sqref>
        </x14:conditionalFormatting>
        <x14:conditionalFormatting xmlns:xm="http://schemas.microsoft.com/office/excel/2006/main">
          <x14:cfRule type="dataBar" id="{B280551A-D672-4CA8-BC27-2A27F3953CF3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E32:E37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A5F"/>
    <pageSetUpPr fitToPage="1"/>
  </sheetPr>
  <dimension ref="B1:M109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13" width="13" customWidth="1"/>
    <col min="14" max="14" width="2" customWidth="1"/>
  </cols>
  <sheetData>
    <row r="1" spans="2:13" ht="37.5" customHeight="1" x14ac:dyDescent="0.35">
      <c r="B1" s="13" t="s">
        <v>0</v>
      </c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2:13" ht="18" customHeight="1" x14ac:dyDescent="0.35">
      <c r="B2" s="12" t="str">
        <f>" "&amp;COUNT(d_price)&amp;" closed sales  |  "&amp;TEXT(MIN(d_date),"d mmm yyyy")&amp;" – "&amp;TEXT(MAX(d_date),"d mmm yyyy")&amp;"  |  Source: home_sales_synthetic.csv (cleaned — see Cleaning_Log)"</f>
        <v xml:space="preserve"> 250 closed sales  |  1 Jan 2025 – 23 Aug 2026  |  Source: home_sales_synthetic.csv (cleaned — see Cleaning_Log)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6" customHeight="1" x14ac:dyDescent="0.35"/>
    <row r="4" spans="2:13" ht="30" customHeight="1" x14ac:dyDescent="0.35">
      <c r="B4" s="11" t="s">
        <v>1</v>
      </c>
      <c r="C4" s="11"/>
      <c r="D4" s="10" t="s">
        <v>2</v>
      </c>
      <c r="E4" s="10"/>
      <c r="F4" s="11" t="s">
        <v>3</v>
      </c>
      <c r="G4" s="11"/>
      <c r="H4" s="10" t="s">
        <v>2</v>
      </c>
      <c r="I4" s="10"/>
      <c r="J4" s="131" t="s">
        <v>4</v>
      </c>
      <c r="K4" s="131"/>
      <c r="L4" s="131"/>
      <c r="M4" s="131"/>
    </row>
    <row r="5" spans="2:13" ht="6" customHeight="1" x14ac:dyDescent="0.35"/>
    <row r="6" spans="2:13" ht="18" customHeight="1" x14ac:dyDescent="0.35">
      <c r="B6" s="9" t="s">
        <v>5</v>
      </c>
      <c r="C6" s="9"/>
      <c r="D6" s="9" t="s">
        <v>6</v>
      </c>
      <c r="E6" s="9"/>
      <c r="F6" s="9" t="s">
        <v>7</v>
      </c>
      <c r="G6" s="9"/>
      <c r="H6" s="9" t="s">
        <v>8</v>
      </c>
      <c r="I6" s="9"/>
      <c r="J6" s="9" t="s">
        <v>9</v>
      </c>
      <c r="K6" s="9"/>
      <c r="L6" s="9" t="s">
        <v>10</v>
      </c>
      <c r="M6" s="9"/>
    </row>
    <row r="7" spans="2:13" ht="33.75" customHeight="1" x14ac:dyDescent="0.35">
      <c r="B7" s="8">
        <f>COUNTIFS(d_nbhd,c_nb,d_type,c_pt)</f>
        <v>250</v>
      </c>
      <c r="C7" s="8"/>
      <c r="D7" s="7">
        <f>SUMIFS(d_price,d_nbhd,c_nb,d_type,c_pt)</f>
        <v>97600000</v>
      </c>
      <c r="E7" s="7"/>
      <c r="F7" s="6">
        <f t="array" ref="F7">IFERROR(MEDIAN(IF(((Dashboard!$D$4="All")+(d_nbhd=Dashboard!$D$4)&gt;0)*((Dashboard!$H$4="All")+(d_type=Dashboard!$H$4)&gt;0),d_price)),"n/a")</f>
        <v>366000</v>
      </c>
      <c r="G7" s="6"/>
      <c r="H7" s="6">
        <f>IFERROR(AVERAGEIFS(d_psf,d_nbhd,c_nb,d_type,c_pt),"n/a")</f>
        <v>225.90432319664487</v>
      </c>
      <c r="I7" s="6"/>
      <c r="J7" s="5">
        <f>IFERROR(AVERAGEIFS(d_dom,d_nbhd,c_nb,d_type,c_pt),"n/a")</f>
        <v>57.371900826446279</v>
      </c>
      <c r="K7" s="5"/>
      <c r="L7" s="4">
        <f>IFERROR(AVERAGEIFS(d_stl,d_nbhd,c_nb,d_type,c_pt),"n/a")</f>
        <v>0.97491350804585453</v>
      </c>
      <c r="M7" s="4"/>
    </row>
    <row r="8" spans="2:13" ht="15.75" customHeight="1" x14ac:dyDescent="0.35">
      <c r="B8" s="3" t="str">
        <f>"Market: "&amp;TEXT(COUNT(d_price),"#,##0")</f>
        <v>Market: 250</v>
      </c>
      <c r="C8" s="3"/>
      <c r="D8" s="3" t="str">
        <f>"Market: "&amp;TEXT(SUM(d_price),"$#,##0.0,,")&amp;"M"</f>
        <v>Market: $97.6M</v>
      </c>
      <c r="E8" s="3"/>
      <c r="F8" s="3" t="str">
        <f>"Market: "&amp;TEXT(MEDIAN(d_price),"$#,##0")</f>
        <v>Market: $3,66,000</v>
      </c>
      <c r="G8" s="3"/>
      <c r="H8" s="3" t="str">
        <f>"Market: "&amp;TEXT(AVERAGE(d_psf),"$#,##0")</f>
        <v>Market: $226</v>
      </c>
      <c r="I8" s="3"/>
      <c r="J8" s="3" t="str">
        <f>"Market: "&amp;TEXT(AVERAGE(d_dom),"0.0")&amp;" days"</f>
        <v>Market: 57.4 days</v>
      </c>
      <c r="K8" s="3"/>
      <c r="L8" s="3" t="str">
        <f>"Market: "&amp;TEXT(AVERAGE(d_stl),"0.0%")</f>
        <v>Market: 97.5%</v>
      </c>
      <c r="M8" s="3"/>
    </row>
    <row r="9" spans="2:13" ht="7.5" customHeight="1" x14ac:dyDescent="0.35"/>
    <row r="10" spans="2:13" ht="19.5" customHeight="1" x14ac:dyDescent="0.35">
      <c r="B10" s="2" t="s">
        <v>11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2:13" ht="21.75" customHeight="1" x14ac:dyDescent="0.35">
      <c r="B11" s="1" t="str">
        <f>"▲ PRICE: "&amp;INDEX(Pivots!$A$6:$A$10,MATCH(MAX(Pivots!$E$6:$E$10),Pivots!$E$6:$E$10,0))&amp;" is the priciest area (avg "&amp;TEXT(MAX(Pivots!$E$6:$E$10),"$#,##0")&amp;"); "&amp;INDEX(Pivots!$A$6:$A$10,MATCH(MIN(Pivots!$E$6:$E$10),Pivots!$E$6:$E$10,0))&amp;" is the most affordable ("&amp;TEXT(MIN(Pivots!$E$6:$E$10),"$#,##0")&amp;") — a "&amp;TEXT(MAX(Pivots!$E$6:$E$10)/MIN(Pivots!$E$6:$E$10)-1,"0%")&amp;" gap."</f>
        <v>▲ PRICE: Oak Hill is the priciest area (avg $4,92,621); Cedar Park is the most affordable ($2,85,641) — a 72% gap.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2:13" ht="21.75" customHeight="1" x14ac:dyDescent="0.35">
      <c r="B12" s="107" t="str">
        <f>"⏱ SPEED: "&amp;INDEX(Pivots!$A$6:$A$10,MATCH(MIN(Pivots!$H$6:$H$10),Pivots!$H$6:$H$10,0))&amp;" sells fastest ("&amp;TEXT(MIN(Pivots!$H$6:$H$10),"0")&amp;" days avg on market); "&amp;INDEX(Pivots!$A$6:$A$10,MATCH(MAX(Pivots!$H$6:$H$10),Pivots!$H$6:$H$10,0))&amp;" is slowest ("&amp;TEXT(MAX(Pivots!$H$6:$H$10),"0")&amp;" days)."</f>
        <v>⏱ SPEED: Downtown sells fastest (53 days avg on market); Cedar Park is slowest (68 days).</v>
      </c>
      <c r="C12" s="107"/>
      <c r="D12" s="107"/>
      <c r="E12" s="107"/>
      <c r="F12" s="107"/>
      <c r="G12" s="107"/>
      <c r="H12" s="107"/>
      <c r="I12" s="107"/>
      <c r="J12" s="107"/>
      <c r="K12" s="107"/>
      <c r="L12" s="107"/>
      <c r="M12" s="107"/>
    </row>
    <row r="13" spans="2:13" ht="21.75" customHeight="1" x14ac:dyDescent="0.35">
      <c r="B13" s="1" t="str">
        <f>"🏠 TYPE: Single Family homes average "&amp;TEXT(Pivots!E17,"$#,##0")&amp;" — "&amp;TEXT(Pivots!E17/Pivots!E16-1,"0%")&amp;" above condos ("&amp;TEXT(Pivots!E16,"$#,##0")&amp;"); townhouses sit between at "&amp;TEXT(Pivots!E18,"$#,##0")&amp;"."</f>
        <v>🏠 TYPE: Single Family homes average $4,52,575 — 69% above condos ($2,68,368); townhouses sit between at $3,45,255.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2:13" ht="21.75" customHeight="1" x14ac:dyDescent="0.35">
      <c r="B14" s="107" t="str">
        <f>"📐 SIZE: Living area is the strongest price driver (r = "&amp;TEXT(Analysis!B30,"0.00")&amp;"). Excluding outliers, each extra sq ft adds ≈ "&amp;TEXT(Analysis!C42,"$#,##0")&amp;" to the price (R² = "&amp;TEXT(Analysis!C44,"0.00")&amp;")."</f>
        <v>📐 SIZE: Living area is the strongest price driver (r = 0.80). Excluding outliers, each extra sq ft adds ≈ $184 to the price (R² = 0.59).</v>
      </c>
      <c r="C14" s="107"/>
      <c r="D14" s="107"/>
      <c r="E14" s="107"/>
      <c r="F14" s="107"/>
      <c r="G14" s="107"/>
      <c r="H14" s="107"/>
      <c r="I14" s="107"/>
      <c r="J14" s="107"/>
      <c r="K14" s="107"/>
      <c r="L14" s="107"/>
      <c r="M14" s="107"/>
    </row>
    <row r="15" spans="2:13" ht="21.75" customHeight="1" x14ac:dyDescent="0.35">
      <c r="B15" s="1" t="str">
        <f>"🤝 NEGOTIATION: Homes close at "&amp;TEXT(Analysis!B58,"0.0%")&amp;" of list on average — "&amp;TEXT(Analysis!B60,"0%")&amp;" sell above asking, "&amp;TEXT(Analysis!B62,"0%")&amp;" below (avg "&amp;TEXT(-Analysis!B64,"$#,##0")&amp;" off when they do)."</f>
        <v>🤝 NEGOTIATION: Homes close at 97.5% of list on average — 19% sell above asking, 79% below (avg $14,782 off when they do).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2:13" ht="21.75" customHeight="1" x14ac:dyDescent="0.35">
      <c r="B16" s="107" t="str">
        <f>"✨ CONDITION: Excellent homes average "&amp;TEXT(Pivots!E23,"$#,##0")&amp;" vs "&amp;TEXT(Pivots!E26,"$#,##0")&amp;" for Poor ("&amp;TEXT(Pivots!E23/Pivots!E26-1,"0%")&amp;" gap"&amp;IF(AVERAGEIFS(d_sqft,d_cond,"Excellent")&gt;1.05*AVERAGEIFS(d_sqft,d_cond,"Poor"),", partly because they are larger",", not explained by home size")&amp;") and sell "&amp;TEXT(Pivots!H26-Pivots!H23,"0")&amp;" days faster."</f>
        <v>✨ CONDITION: Excellent homes average $4,58,952 vs $3,17,818 for Poor (44% gap, not explained by home size) and sell 26 days faster.</v>
      </c>
      <c r="C16" s="107"/>
      <c r="D16" s="107"/>
      <c r="E16" s="107"/>
      <c r="F16" s="107"/>
      <c r="G16" s="107"/>
      <c r="H16" s="107"/>
      <c r="I16" s="107"/>
      <c r="J16" s="107"/>
      <c r="K16" s="107"/>
      <c r="L16" s="107"/>
      <c r="M16" s="107"/>
    </row>
    <row r="17" spans="2:13" ht="7.5" customHeight="1" x14ac:dyDescent="0.35"/>
    <row r="18" spans="2:13" ht="19.5" customHeight="1" x14ac:dyDescent="0.35">
      <c r="B18" s="2" t="s">
        <v>12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35" spans="2:13" ht="21.75" customHeight="1" x14ac:dyDescent="0.35">
      <c r="B35" s="108" t="s">
        <v>13</v>
      </c>
      <c r="C35" s="108"/>
      <c r="D35" s="108"/>
      <c r="E35" s="108"/>
      <c r="F35" s="108"/>
      <c r="G35" s="108"/>
      <c r="H35" s="108"/>
      <c r="I35" s="108"/>
      <c r="J35" s="108"/>
      <c r="K35" s="108"/>
      <c r="L35" s="108"/>
      <c r="M35" s="108"/>
    </row>
    <row r="36" spans="2:13" ht="19.5" customHeight="1" x14ac:dyDescent="0.35">
      <c r="B36" s="2" t="s">
        <v>14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53" spans="2:13" ht="21.75" customHeight="1" x14ac:dyDescent="0.35">
      <c r="B53" s="108" t="s">
        <v>15</v>
      </c>
      <c r="C53" s="108"/>
      <c r="D53" s="108"/>
      <c r="E53" s="108"/>
      <c r="F53" s="108"/>
      <c r="G53" s="108"/>
      <c r="H53" s="108" t="s">
        <v>16</v>
      </c>
      <c r="I53" s="108"/>
      <c r="J53" s="108"/>
      <c r="K53" s="108"/>
      <c r="L53" s="108"/>
      <c r="M53" s="108"/>
    </row>
    <row r="54" spans="2:13" ht="19.5" customHeight="1" x14ac:dyDescent="0.35">
      <c r="B54" s="2" t="s">
        <v>17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71" spans="2:13" ht="21.75" customHeight="1" x14ac:dyDescent="0.35">
      <c r="B71" s="108" t="s">
        <v>18</v>
      </c>
      <c r="C71" s="108"/>
      <c r="D71" s="108"/>
      <c r="E71" s="108"/>
      <c r="F71" s="108"/>
      <c r="G71" s="108"/>
      <c r="H71" s="108" t="s">
        <v>19</v>
      </c>
      <c r="I71" s="108"/>
      <c r="J71" s="108"/>
      <c r="K71" s="108"/>
      <c r="L71" s="108"/>
      <c r="M71" s="108"/>
    </row>
    <row r="72" spans="2:13" ht="19.5" customHeight="1" x14ac:dyDescent="0.35">
      <c r="B72" s="2" t="s">
        <v>20</v>
      </c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89" spans="2:13" ht="21.75" customHeight="1" x14ac:dyDescent="0.35">
      <c r="B89" s="108" t="s">
        <v>21</v>
      </c>
      <c r="C89" s="108"/>
      <c r="D89" s="108"/>
      <c r="E89" s="108"/>
      <c r="F89" s="108"/>
      <c r="G89" s="108"/>
      <c r="H89" s="108" t="s">
        <v>22</v>
      </c>
      <c r="I89" s="108"/>
      <c r="J89" s="108"/>
      <c r="K89" s="108"/>
      <c r="L89" s="108"/>
      <c r="M89" s="108"/>
    </row>
    <row r="90" spans="2:13" ht="19.5" customHeight="1" x14ac:dyDescent="0.35">
      <c r="B90" s="2" t="s">
        <v>23</v>
      </c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2:13" ht="21.75" customHeight="1" x14ac:dyDescent="0.35">
      <c r="H91" s="109" t="s">
        <v>24</v>
      </c>
      <c r="I91" s="109"/>
      <c r="J91" s="109"/>
      <c r="K91" s="109"/>
      <c r="L91" s="109"/>
      <c r="M91" s="109"/>
    </row>
    <row r="92" spans="2:13" ht="24" customHeight="1" x14ac:dyDescent="0.35">
      <c r="H92" s="14" t="s">
        <v>25</v>
      </c>
      <c r="I92" s="15" t="s">
        <v>26</v>
      </c>
      <c r="J92" s="15" t="s">
        <v>27</v>
      </c>
      <c r="K92" s="15" t="s">
        <v>28</v>
      </c>
      <c r="L92" s="15" t="s">
        <v>29</v>
      </c>
      <c r="M92" s="15" t="s">
        <v>30</v>
      </c>
    </row>
    <row r="93" spans="2:13" ht="25.5" customHeight="1" x14ac:dyDescent="0.35">
      <c r="H93" s="16" t="str">
        <f>Pivots!A86</f>
        <v>Cedar Park</v>
      </c>
      <c r="I93" s="17">
        <f>Pivots!B86</f>
        <v>168444.44444444444</v>
      </c>
      <c r="J93" s="17">
        <f>Pivots!C86</f>
        <v>333120</v>
      </c>
      <c r="K93" s="17">
        <f>Pivots!D86</f>
        <v>259200</v>
      </c>
      <c r="L93" s="17">
        <f>Pivots!E86</f>
        <v>285641.02564102563</v>
      </c>
      <c r="M93" s="18">
        <f>Pivots!E106</f>
        <v>39</v>
      </c>
    </row>
    <row r="94" spans="2:13" ht="25.5" customHeight="1" x14ac:dyDescent="0.35">
      <c r="H94" s="16" t="str">
        <f>Pivots!A87</f>
        <v>Downtown</v>
      </c>
      <c r="I94" s="17">
        <f>Pivots!B87</f>
        <v>334950</v>
      </c>
      <c r="J94" s="17">
        <f>Pivots!C87</f>
        <v>576692.30769230775</v>
      </c>
      <c r="K94" s="17">
        <f>Pivots!D87</f>
        <v>427666.66666666669</v>
      </c>
      <c r="L94" s="17">
        <f>Pivots!E87</f>
        <v>429972.22222222225</v>
      </c>
      <c r="M94" s="18">
        <f>Pivots!E107</f>
        <v>36</v>
      </c>
    </row>
    <row r="95" spans="2:13" ht="25.5" customHeight="1" x14ac:dyDescent="0.35">
      <c r="H95" s="16" t="str">
        <f>Pivots!A88</f>
        <v>Maple Heights</v>
      </c>
      <c r="I95" s="17">
        <f>Pivots!B88</f>
        <v>206714.28571428571</v>
      </c>
      <c r="J95" s="17">
        <f>Pivots!C88</f>
        <v>376633.33333333331</v>
      </c>
      <c r="K95" s="17">
        <f>Pivots!D88</f>
        <v>315714.28571428574</v>
      </c>
      <c r="L95" s="17">
        <f>Pivots!E88</f>
        <v>336588.23529411765</v>
      </c>
      <c r="M95" s="18">
        <f>Pivots!E108</f>
        <v>51</v>
      </c>
    </row>
    <row r="96" spans="2:13" ht="25.5" customHeight="1" x14ac:dyDescent="0.35">
      <c r="H96" s="16" t="str">
        <f>Pivots!A89</f>
        <v>Oak Hill</v>
      </c>
      <c r="I96" s="17">
        <f>Pivots!B89</f>
        <v>308090.90909090912</v>
      </c>
      <c r="J96" s="17">
        <f>Pivots!C89</f>
        <v>572756.7567567568</v>
      </c>
      <c r="K96" s="17">
        <f>Pivots!D89</f>
        <v>399100</v>
      </c>
      <c r="L96" s="17">
        <f>Pivots!E89</f>
        <v>492620.68965517241</v>
      </c>
      <c r="M96" s="18">
        <f>Pivots!E109</f>
        <v>58</v>
      </c>
    </row>
    <row r="97" spans="2:13" ht="25.5" customHeight="1" x14ac:dyDescent="0.35">
      <c r="H97" s="16" t="str">
        <f>Pivots!A90</f>
        <v>Riverside</v>
      </c>
      <c r="I97" s="17">
        <f>Pivots!B90</f>
        <v>224600</v>
      </c>
      <c r="J97" s="17">
        <f>Pivots!C90</f>
        <v>434128.20512820513</v>
      </c>
      <c r="K97" s="17">
        <f>Pivots!D90</f>
        <v>352153.84615384613</v>
      </c>
      <c r="L97" s="17">
        <f>Pivots!E90</f>
        <v>383145.16129032261</v>
      </c>
      <c r="M97" s="18">
        <f>Pivots!E110</f>
        <v>62</v>
      </c>
    </row>
    <row r="98" spans="2:13" ht="25.5" customHeight="1" x14ac:dyDescent="0.35">
      <c r="H98" s="19" t="str">
        <f>Pivots!A91</f>
        <v>All areas</v>
      </c>
      <c r="I98" s="20">
        <f>Pivots!B91</f>
        <v>268368.42105263157</v>
      </c>
      <c r="J98" s="20">
        <f>Pivots!C91</f>
        <v>452575.34246575343</v>
      </c>
      <c r="K98" s="20">
        <f>Pivots!D91</f>
        <v>345255.31914893619</v>
      </c>
      <c r="L98" s="20">
        <f>Pivots!E91</f>
        <v>390400</v>
      </c>
      <c r="M98" s="21">
        <f>Pivots!E111</f>
        <v>250</v>
      </c>
    </row>
    <row r="100" spans="2:13" ht="15" customHeight="1" x14ac:dyDescent="0.35">
      <c r="H100" s="110" t="s">
        <v>31</v>
      </c>
      <c r="I100" s="110"/>
      <c r="J100" s="110"/>
      <c r="K100" s="110"/>
      <c r="L100" s="110"/>
      <c r="M100" s="110"/>
    </row>
    <row r="101" spans="2:13" x14ac:dyDescent="0.35">
      <c r="H101" s="110"/>
      <c r="I101" s="110"/>
      <c r="J101" s="110"/>
      <c r="K101" s="110"/>
      <c r="L101" s="110"/>
      <c r="M101" s="110"/>
    </row>
    <row r="102" spans="2:13" x14ac:dyDescent="0.35">
      <c r="H102" s="110"/>
      <c r="I102" s="110"/>
      <c r="J102" s="110"/>
      <c r="K102" s="110"/>
      <c r="L102" s="110"/>
      <c r="M102" s="110"/>
    </row>
    <row r="103" spans="2:13" x14ac:dyDescent="0.35">
      <c r="H103" s="110"/>
      <c r="I103" s="110"/>
      <c r="J103" s="110"/>
      <c r="K103" s="110"/>
      <c r="L103" s="110"/>
      <c r="M103" s="110"/>
    </row>
    <row r="105" spans="2:13" x14ac:dyDescent="0.35">
      <c r="H105" s="111" t="s">
        <v>32</v>
      </c>
      <c r="I105" s="111"/>
      <c r="J105" s="111"/>
      <c r="K105" s="111"/>
      <c r="L105" s="111"/>
      <c r="M105" s="111"/>
    </row>
    <row r="108" spans="2:13" ht="21.75" customHeight="1" x14ac:dyDescent="0.35">
      <c r="B108" s="108" t="s">
        <v>33</v>
      </c>
      <c r="C108" s="108"/>
      <c r="D108" s="108"/>
      <c r="E108" s="108"/>
      <c r="F108" s="108"/>
      <c r="G108" s="108"/>
    </row>
    <row r="109" spans="2:13" ht="25.5" customHeight="1" x14ac:dyDescent="0.35">
      <c r="B109" s="110" t="str">
        <f>"Notes: Aug-2026 is a partial month. Outliers ("&amp;Analysis!G22&amp;" high-price, "&amp;Analysis!G23&amp;" long-DOM, "&amp;Analysis!G24&amp;" $/sqft flags) are kept and labelled in Data_Clean › outlier_flag. Imputed values are documented in Cleaning_Log."</f>
        <v>Notes: Aug-2026 is a partial month. Outliers (4 high-price, 5 long-DOM, 2 $/sqft flags) are kept and labelled in Data_Clean › outlier_flag. Imputed values are documented in Cleaning_Log.</v>
      </c>
      <c r="C109" s="110"/>
      <c r="D109" s="110"/>
      <c r="E109" s="110"/>
      <c r="F109" s="110"/>
      <c r="G109" s="110"/>
      <c r="H109" s="110"/>
      <c r="I109" s="110"/>
      <c r="J109" s="110"/>
      <c r="K109" s="110"/>
      <c r="L109" s="110"/>
      <c r="M109" s="110"/>
    </row>
  </sheetData>
  <mergeCells count="49">
    <mergeCell ref="H100:M103"/>
    <mergeCell ref="H105:M105"/>
    <mergeCell ref="B108:G108"/>
    <mergeCell ref="B109:M109"/>
    <mergeCell ref="B72:M72"/>
    <mergeCell ref="B89:G89"/>
    <mergeCell ref="H89:M89"/>
    <mergeCell ref="B90:M90"/>
    <mergeCell ref="H91:M91"/>
    <mergeCell ref="B36:M36"/>
    <mergeCell ref="B53:G53"/>
    <mergeCell ref="H53:M53"/>
    <mergeCell ref="B54:M54"/>
    <mergeCell ref="B71:G71"/>
    <mergeCell ref="H71:M71"/>
    <mergeCell ref="B14:M14"/>
    <mergeCell ref="B15:M15"/>
    <mergeCell ref="B16:M16"/>
    <mergeCell ref="B18:M18"/>
    <mergeCell ref="B35:M35"/>
    <mergeCell ref="L8:M8"/>
    <mergeCell ref="B10:M10"/>
    <mergeCell ref="B11:M11"/>
    <mergeCell ref="B12:M12"/>
    <mergeCell ref="B13:M13"/>
    <mergeCell ref="B8:C8"/>
    <mergeCell ref="D8:E8"/>
    <mergeCell ref="F8:G8"/>
    <mergeCell ref="H8:I8"/>
    <mergeCell ref="J8:K8"/>
    <mergeCell ref="L6:M6"/>
    <mergeCell ref="B7:C7"/>
    <mergeCell ref="D7:E7"/>
    <mergeCell ref="F7:G7"/>
    <mergeCell ref="H7:I7"/>
    <mergeCell ref="J7:K7"/>
    <mergeCell ref="L7:M7"/>
    <mergeCell ref="B6:C6"/>
    <mergeCell ref="D6:E6"/>
    <mergeCell ref="F6:G6"/>
    <mergeCell ref="H6:I6"/>
    <mergeCell ref="J6:K6"/>
    <mergeCell ref="B1:M1"/>
    <mergeCell ref="B2:M2"/>
    <mergeCell ref="B4:C4"/>
    <mergeCell ref="D4:E4"/>
    <mergeCell ref="F4:G4"/>
    <mergeCell ref="H4:I4"/>
    <mergeCell ref="J4:M4"/>
  </mergeCells>
  <conditionalFormatting sqref="I93:K97">
    <cfRule type="colorScale" priority="2">
      <colorScale>
        <cfvo type="min"/>
        <cfvo type="percentile" val="50"/>
        <cfvo type="max"/>
        <color rgb="FFF4F9F8"/>
        <color rgb="FFA8D5CF"/>
        <color rgb="FF2A9D8F"/>
      </colorScale>
    </cfRule>
  </conditionalFormatting>
  <dataValidations count="2">
    <dataValidation type="list" sqref="D4" xr:uid="{00000000-0002-0000-0000-000000000000}">
      <formula1>"All,Cedar Park,Downtown,Maple Heights,Oak Hill,Riverside,Unknown"</formula1>
      <formula2>0</formula2>
    </dataValidation>
    <dataValidation type="list" sqref="H4" xr:uid="{00000000-0002-0000-0000-000001000000}">
      <formula1>"All,Condo,Single Family,Townhouse"</formula1>
      <formula2>0</formula2>
    </dataValidation>
  </dataValidations>
  <hyperlinks>
    <hyperlink ref="B35" location="'D1_Trend'!A1" display="🔍  Click for details &amp; drill-down: Monthly Trend  ▸" xr:uid="{00000000-0004-0000-0000-000000000000}"/>
    <hyperlink ref="B53" location="'D2_Neighborhood'!A1" display="🔍  Click for details &amp; drill-down: Neighborhood Pricing  ▸" xr:uid="{00000000-0004-0000-0000-000001000000}"/>
    <hyperlink ref="H53" location="'D3_Speed_Negotiation'!A1" display="🔍  Click for details &amp; drill-down: Speed &amp; Negotiation  ▸" xr:uid="{00000000-0004-0000-0000-000002000000}"/>
    <hyperlink ref="B71" location="'D4_Property_Type'!A1" display="🔍  Click for details &amp; drill-down: Property Type  ▸" xr:uid="{00000000-0004-0000-0000-000003000000}"/>
    <hyperlink ref="H71" location="'D5_Price_Distribution'!A1" display="🔍  Click for details &amp; drill-down: Price Distribution  ▸" xr:uid="{00000000-0004-0000-0000-000004000000}"/>
    <hyperlink ref="B89" location="'D6_Size_vs_Price'!A1" display="🔍  Click for details &amp; drill-down: Size vs. Price  ▸" xr:uid="{00000000-0004-0000-0000-000005000000}"/>
    <hyperlink ref="H89" location="'D7_Condition'!A1" display="🔍  Click for details &amp; drill-down: Condition  ▸" xr:uid="{00000000-0004-0000-0000-000006000000}"/>
    <hyperlink ref="H105" location="'Pivots'!A1" display="🔍  Full heatmaps &amp; all pivot tables  ▸" xr:uid="{00000000-0004-0000-0000-000007000000}"/>
    <hyperlink ref="B108" location="'D8_Bedrooms'!A1" display="🔍  Click for details &amp; drill-down: Bedrooms  ▸" xr:uid="{00000000-0004-0000-0000-000008000000}"/>
  </hyperlinks>
  <pageMargins left="0.75" right="0.75" top="1" bottom="1" header="0.511811023622047" footer="0.511811023622047"/>
  <pageSetup fitToHeight="0" orientation="portrait" horizontalDpi="300" verticalDpi="3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E9A23B"/>
    <pageSetUpPr fitToPage="1"/>
  </sheetPr>
  <dimension ref="B1:M51"/>
  <sheetViews>
    <sheetView showGridLines="0" zoomScaleNormal="100" workbookViewId="0">
      <selection activeCell="B3" sqref="B3"/>
    </sheetView>
  </sheetViews>
  <sheetFormatPr defaultColWidth="8.6328125" defaultRowHeight="14.5" x14ac:dyDescent="0.35"/>
  <cols>
    <col min="1" max="1" width="2" customWidth="1"/>
    <col min="2" max="2" width="21" customWidth="1"/>
    <col min="3" max="13" width="13" customWidth="1"/>
    <col min="14" max="14" width="2" customWidth="1"/>
  </cols>
  <sheetData>
    <row r="1" spans="2:13" ht="33.75" customHeight="1" x14ac:dyDescent="0.35">
      <c r="B1" s="112" t="s">
        <v>34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2:13" ht="18" customHeight="1" x14ac:dyDescent="0.35">
      <c r="B2" s="12" t="s">
        <v>35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21.75" customHeight="1" x14ac:dyDescent="0.35">
      <c r="B3" s="22" t="s">
        <v>36</v>
      </c>
      <c r="C3" s="111" t="s">
        <v>37</v>
      </c>
      <c r="D3" s="111"/>
      <c r="E3" s="111" t="s">
        <v>38</v>
      </c>
      <c r="F3" s="111"/>
      <c r="G3" s="113" t="s">
        <v>39</v>
      </c>
      <c r="H3" s="113"/>
      <c r="I3" s="113"/>
      <c r="J3" s="113"/>
      <c r="K3" s="113"/>
      <c r="L3" s="113"/>
      <c r="M3" s="113"/>
    </row>
    <row r="4" spans="2:13" ht="7.5" customHeight="1" x14ac:dyDescent="0.35"/>
    <row r="5" spans="2:13" ht="15.75" customHeight="1" x14ac:dyDescent="0.35">
      <c r="B5" s="9" t="s">
        <v>40</v>
      </c>
      <c r="C5" s="9"/>
      <c r="D5" s="9"/>
      <c r="E5" s="9" t="s">
        <v>41</v>
      </c>
      <c r="F5" s="9"/>
      <c r="G5" s="9"/>
      <c r="H5" s="9" t="s">
        <v>42</v>
      </c>
      <c r="I5" s="9"/>
      <c r="J5" s="9"/>
      <c r="K5" s="9" t="s">
        <v>43</v>
      </c>
      <c r="L5" s="9"/>
      <c r="M5" s="9"/>
    </row>
    <row r="6" spans="2:13" ht="30" customHeight="1" x14ac:dyDescent="0.35">
      <c r="B6" s="114">
        <f>C50</f>
        <v>250</v>
      </c>
      <c r="C6" s="114"/>
      <c r="D6" s="114"/>
      <c r="E6" s="115">
        <f>INDEX(B30:B49,MATCH(MAX(C30:C49),C30:C49,0))</f>
        <v>46204</v>
      </c>
      <c r="F6" s="115"/>
      <c r="G6" s="115"/>
      <c r="H6" s="115">
        <f>INDEX(B30:B49,MATCH(MAX(E30:E49),E30:E49,0))</f>
        <v>45717</v>
      </c>
      <c r="I6" s="115"/>
      <c r="J6" s="115"/>
      <c r="K6" s="116">
        <f>AVERAGE(C30:C48)</f>
        <v>12.894736842105264</v>
      </c>
      <c r="L6" s="116"/>
      <c r="M6" s="116"/>
    </row>
    <row r="7" spans="2:13" ht="15.75" customHeight="1" x14ac:dyDescent="0.35">
      <c r="B7" s="3" t="str">
        <f>"Across "&amp;COUNT(C30:C49)&amp;" months"</f>
        <v>Across 20 months</v>
      </c>
      <c r="C7" s="3"/>
      <c r="D7" s="3"/>
      <c r="E7" s="3" t="str">
        <f>MAX(C30:C49)&amp;" homes sold"</f>
        <v>21 homes sold</v>
      </c>
      <c r="F7" s="3"/>
      <c r="G7" s="3"/>
      <c r="H7" s="3" t="str">
        <f>TEXT(MAX(E30:E49),"$#,##0")&amp;" average"</f>
        <v>$5,18,368 average</v>
      </c>
      <c r="I7" s="3"/>
      <c r="J7" s="3"/>
      <c r="K7" s="3" t="str">
        <f>"excl. partial "&amp;TEXT(B49,"mmm-yy")</f>
        <v>excl. partial Aug-26</v>
      </c>
      <c r="L7" s="3"/>
      <c r="M7" s="3"/>
    </row>
    <row r="8" spans="2:13" ht="7.5" customHeight="1" x14ac:dyDescent="0.35"/>
    <row r="9" spans="2:13" x14ac:dyDescent="0.35">
      <c r="B9" s="117" t="s">
        <v>44</v>
      </c>
      <c r="C9" s="117"/>
      <c r="D9" s="117"/>
      <c r="E9" s="117"/>
      <c r="F9" s="117"/>
      <c r="G9" s="117"/>
      <c r="I9" s="117" t="s">
        <v>45</v>
      </c>
      <c r="J9" s="117"/>
      <c r="K9" s="117"/>
      <c r="L9" s="117"/>
      <c r="M9" s="117"/>
    </row>
    <row r="10" spans="2:13" x14ac:dyDescent="0.35">
      <c r="I10" s="118" t="str">
        <f>"Busiest month: "&amp;TEXT(INDEX(B30:B49,MATCH(MAX(C30:C49),C30:C49,0)),"mmm-yy")&amp;" ("&amp;MAX(C30:C49)&amp;" sales). Quietest full month: "&amp;TEXT(INDEX(B30:B48,MATCH(MIN(C30:C48),C30:C48,0)),"mmm-yy")&amp;" ("&amp;MIN(C30:C48)&amp;" sales)."</f>
        <v>Busiest month: Jul-26 (21 sales). Quietest full month: Dec-25 (7 sales).</v>
      </c>
      <c r="J10" s="118"/>
      <c r="K10" s="118"/>
      <c r="L10" s="118"/>
      <c r="M10" s="118"/>
    </row>
    <row r="11" spans="2:13" x14ac:dyDescent="0.35">
      <c r="I11" s="118"/>
      <c r="J11" s="118"/>
      <c r="K11" s="118"/>
      <c r="L11" s="118"/>
      <c r="M11" s="118"/>
    </row>
    <row r="12" spans="2:13" x14ac:dyDescent="0.35">
      <c r="I12" s="118"/>
      <c r="J12" s="118"/>
      <c r="K12" s="118"/>
      <c r="L12" s="118"/>
      <c r="M12" s="118"/>
    </row>
    <row r="13" spans="2:13" x14ac:dyDescent="0.35">
      <c r="I13" s="119" t="str">
        <f>"Average price ranged from "&amp;TEXT(MIN(E30:E49),"$#,##0")&amp;" ("&amp;TEXT(INDEX(B30:B49,MATCH(MIN(E30:E49),E30:E49,0)),"mmm-yy")&amp;") to "&amp;TEXT(MAX(E30:E49),"$#,##0")&amp;" ("&amp;TEXT(INDEX(B30:B49,MATCH(MAX(E30:E49),E30:E49,0)),"mmm-yy")&amp;")."</f>
        <v>Average price ranged from $3,07,444 (Apr-26) to $5,18,368 (Mar-25).</v>
      </c>
      <c r="J13" s="119"/>
      <c r="K13" s="119"/>
      <c r="L13" s="119"/>
      <c r="M13" s="119"/>
    </row>
    <row r="14" spans="2:13" x14ac:dyDescent="0.35">
      <c r="I14" s="119"/>
      <c r="J14" s="119"/>
      <c r="K14" s="119"/>
      <c r="L14" s="119"/>
      <c r="M14" s="119"/>
    </row>
    <row r="15" spans="2:13" x14ac:dyDescent="0.35">
      <c r="I15" s="119"/>
      <c r="J15" s="119"/>
      <c r="K15" s="119"/>
      <c r="L15" s="119"/>
      <c r="M15" s="119"/>
    </row>
    <row r="16" spans="2:13" x14ac:dyDescent="0.35">
      <c r="I16" s="118" t="str">
        <f>"Biggest average-vs-median gap: "&amp;TEXT(INDEX(B30:B49,MATCH(MAX(L30:L49),L30:L49,0)),"mmm-yy")&amp;" ("&amp;TEXT(MAX(L30:L49),"$#,##0")&amp;") — a few high-value sales lifted that month; the median is the fairer read."</f>
        <v>Biggest average-vs-median gap: Mar-25 ($1,48,368) — a few high-value sales lifted that month; the median is the fairer read.</v>
      </c>
      <c r="J16" s="118"/>
      <c r="K16" s="118"/>
      <c r="L16" s="118"/>
      <c r="M16" s="118"/>
    </row>
    <row r="17" spans="2:13" x14ac:dyDescent="0.35">
      <c r="I17" s="118"/>
      <c r="J17" s="118"/>
      <c r="K17" s="118"/>
      <c r="L17" s="118"/>
      <c r="M17" s="118"/>
    </row>
    <row r="18" spans="2:13" x14ac:dyDescent="0.35">
      <c r="I18" s="118"/>
      <c r="J18" s="118"/>
      <c r="K18" s="118"/>
      <c r="L18" s="118"/>
      <c r="M18" s="118"/>
    </row>
    <row r="19" spans="2:13" x14ac:dyDescent="0.35">
      <c r="I19" s="119" t="str">
        <f>"The 3-month rolling average moved from "&amp;TEXT(I30,"$#,##0")&amp;" to "&amp;TEXT(I49,"$#,##0")&amp;" ("&amp;TEXT(I49/I30-1,"+0.0%;-0.0%")&amp;") over the period."</f>
        <v>The 3-month rolling average moved from $3,79,765 to $3,50,314 (-7.8%) over the period.</v>
      </c>
      <c r="J19" s="119"/>
      <c r="K19" s="119"/>
      <c r="L19" s="119"/>
      <c r="M19" s="119"/>
    </row>
    <row r="20" spans="2:13" x14ac:dyDescent="0.35">
      <c r="I20" s="119"/>
      <c r="J20" s="119"/>
      <c r="K20" s="119"/>
      <c r="L20" s="119"/>
      <c r="M20" s="119"/>
    </row>
    <row r="21" spans="2:13" x14ac:dyDescent="0.35">
      <c r="I21" s="119"/>
      <c r="J21" s="119"/>
      <c r="K21" s="119"/>
      <c r="L21" s="119"/>
      <c r="M21" s="119"/>
    </row>
    <row r="22" spans="2:13" x14ac:dyDescent="0.35">
      <c r="I22" s="118" t="str">
        <f>"Volume beat the monthly average ("&amp;TEXT(AVERAGE(C30:C49),"0.0")&amp;") in "&amp;COUNTIF(C30:C49,"&gt;"&amp;AVERAGE(C30:C49))&amp;" of "&amp;COUNT(C30:C49)&amp;" months."</f>
        <v>Volume beat the monthly average (12.5) in 9 of 20 months.</v>
      </c>
      <c r="J22" s="118"/>
      <c r="K22" s="118"/>
      <c r="L22" s="118"/>
      <c r="M22" s="118"/>
    </row>
    <row r="23" spans="2:13" x14ac:dyDescent="0.35">
      <c r="I23" s="118"/>
      <c r="J23" s="118"/>
      <c r="K23" s="118"/>
      <c r="L23" s="118"/>
      <c r="M23" s="118"/>
    </row>
    <row r="24" spans="2:13" x14ac:dyDescent="0.35">
      <c r="I24" s="118"/>
      <c r="J24" s="118"/>
      <c r="K24" s="118"/>
      <c r="L24" s="118"/>
      <c r="M24" s="118"/>
    </row>
    <row r="28" spans="2:13" x14ac:dyDescent="0.35">
      <c r="B28" s="117" t="s">
        <v>46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</row>
    <row r="29" spans="2:13" ht="30" customHeight="1" x14ac:dyDescent="0.35">
      <c r="B29" s="23" t="s">
        <v>47</v>
      </c>
      <c r="C29" s="24" t="s">
        <v>48</v>
      </c>
      <c r="D29" s="24" t="s">
        <v>49</v>
      </c>
      <c r="E29" s="24" t="s">
        <v>50</v>
      </c>
      <c r="F29" s="24" t="s">
        <v>51</v>
      </c>
      <c r="G29" s="24" t="s">
        <v>52</v>
      </c>
      <c r="H29" s="24" t="s">
        <v>53</v>
      </c>
      <c r="I29" s="24" t="s">
        <v>54</v>
      </c>
      <c r="J29" s="24" t="s">
        <v>55</v>
      </c>
      <c r="K29" s="24" t="s">
        <v>56</v>
      </c>
      <c r="L29" s="24" t="s">
        <v>57</v>
      </c>
    </row>
    <row r="30" spans="2:13" x14ac:dyDescent="0.35">
      <c r="B30" s="25">
        <f>Pivots!A42</f>
        <v>45658</v>
      </c>
      <c r="C30" s="26">
        <f>Pivots!B42</f>
        <v>17</v>
      </c>
      <c r="D30" s="27">
        <f>Pivots!C42</f>
        <v>6456000</v>
      </c>
      <c r="E30" s="27">
        <f>Pivots!D42</f>
        <v>379764.70588235295</v>
      </c>
      <c r="F30" s="27">
        <f>Pivots!E42</f>
        <v>389000</v>
      </c>
      <c r="G30" s="28">
        <f>Pivots!F42</f>
        <v>55.823529411764703</v>
      </c>
      <c r="H30" s="29">
        <f>Pivots!G42</f>
        <v>0.97988672266266452</v>
      </c>
      <c r="I30" s="27">
        <f>Pivots!H42</f>
        <v>379764.70588235295</v>
      </c>
      <c r="J30" s="30" t="s">
        <v>58</v>
      </c>
      <c r="K30" s="30" t="s">
        <v>58</v>
      </c>
      <c r="L30" s="31">
        <f t="shared" ref="L30:L49" si="0">IFERROR(E30-F30,"")</f>
        <v>-9235.2941176470486</v>
      </c>
    </row>
    <row r="31" spans="2:13" x14ac:dyDescent="0.35">
      <c r="B31" s="25">
        <f>Pivots!A43</f>
        <v>45689</v>
      </c>
      <c r="C31" s="26">
        <f>Pivots!B43</f>
        <v>12</v>
      </c>
      <c r="D31" s="27">
        <f>Pivots!C43</f>
        <v>4361000</v>
      </c>
      <c r="E31" s="27">
        <f>Pivots!D43</f>
        <v>363416.66666666669</v>
      </c>
      <c r="F31" s="27">
        <f>Pivots!E43</f>
        <v>359500</v>
      </c>
      <c r="G31" s="28">
        <f>Pivots!F43</f>
        <v>51.545454545454547</v>
      </c>
      <c r="H31" s="29">
        <f>Pivots!G43</f>
        <v>0.96617896419738891</v>
      </c>
      <c r="I31" s="27">
        <f>Pivots!H43</f>
        <v>373000</v>
      </c>
      <c r="J31" s="30">
        <f t="shared" ref="J31:J49" si="1">IFERROR(E31/E30-1,"")</f>
        <v>-4.3047810821974397E-2</v>
      </c>
      <c r="K31" s="30">
        <f t="shared" ref="K31:K49" si="2">IFERROR(C31/C30-1,"")</f>
        <v>-0.29411764705882348</v>
      </c>
      <c r="L31" s="31">
        <f t="shared" si="0"/>
        <v>3916.6666666666861</v>
      </c>
    </row>
    <row r="32" spans="2:13" x14ac:dyDescent="0.35">
      <c r="B32" s="25">
        <f>Pivots!A44</f>
        <v>45717</v>
      </c>
      <c r="C32" s="26">
        <f>Pivots!B44</f>
        <v>19</v>
      </c>
      <c r="D32" s="27">
        <f>Pivots!C44</f>
        <v>9849000</v>
      </c>
      <c r="E32" s="27">
        <f>Pivots!D44</f>
        <v>518368.42105263157</v>
      </c>
      <c r="F32" s="27">
        <f>Pivots!E44</f>
        <v>370000</v>
      </c>
      <c r="G32" s="28">
        <f>Pivots!F44</f>
        <v>54.388888888888886</v>
      </c>
      <c r="H32" s="29">
        <f>Pivots!G44</f>
        <v>0.96938202012996921</v>
      </c>
      <c r="I32" s="27">
        <f>Pivots!H44</f>
        <v>430541.66666666669</v>
      </c>
      <c r="J32" s="30">
        <f t="shared" si="1"/>
        <v>0.42637492607924288</v>
      </c>
      <c r="K32" s="30">
        <f t="shared" si="2"/>
        <v>0.58333333333333326</v>
      </c>
      <c r="L32" s="31">
        <f t="shared" si="0"/>
        <v>148368.42105263157</v>
      </c>
    </row>
    <row r="33" spans="2:12" x14ac:dyDescent="0.35">
      <c r="B33" s="25">
        <f>Pivots!A45</f>
        <v>45748</v>
      </c>
      <c r="C33" s="26">
        <f>Pivots!B45</f>
        <v>13</v>
      </c>
      <c r="D33" s="27">
        <f>Pivots!C45</f>
        <v>5756000</v>
      </c>
      <c r="E33" s="27">
        <f>Pivots!D45</f>
        <v>442769.23076923075</v>
      </c>
      <c r="F33" s="27">
        <f>Pivots!E45</f>
        <v>382000</v>
      </c>
      <c r="G33" s="28">
        <f>Pivots!F45</f>
        <v>53.153846153846153</v>
      </c>
      <c r="H33" s="29">
        <f>Pivots!G45</f>
        <v>0.98632747149738753</v>
      </c>
      <c r="I33" s="27">
        <f>Pivots!H45</f>
        <v>453772.72727272729</v>
      </c>
      <c r="J33" s="30">
        <f t="shared" si="1"/>
        <v>-0.14584065543553815</v>
      </c>
      <c r="K33" s="30">
        <f t="shared" si="2"/>
        <v>-0.31578947368421051</v>
      </c>
      <c r="L33" s="31">
        <f t="shared" si="0"/>
        <v>60769.230769230751</v>
      </c>
    </row>
    <row r="34" spans="2:12" x14ac:dyDescent="0.35">
      <c r="B34" s="25">
        <f>Pivots!A46</f>
        <v>45778</v>
      </c>
      <c r="C34" s="26">
        <f>Pivots!B46</f>
        <v>10</v>
      </c>
      <c r="D34" s="27">
        <f>Pivots!C46</f>
        <v>4259000</v>
      </c>
      <c r="E34" s="27">
        <f>Pivots!D46</f>
        <v>425900</v>
      </c>
      <c r="F34" s="27">
        <f>Pivots!E46</f>
        <v>380000</v>
      </c>
      <c r="G34" s="28">
        <f>Pivots!F46</f>
        <v>62.5</v>
      </c>
      <c r="H34" s="29">
        <f>Pivots!G46</f>
        <v>0.97588207991007303</v>
      </c>
      <c r="I34" s="27">
        <f>Pivots!H46</f>
        <v>472952.38095238095</v>
      </c>
      <c r="J34" s="30">
        <f t="shared" si="1"/>
        <v>-3.8099374565670585E-2</v>
      </c>
      <c r="K34" s="30">
        <f t="shared" si="2"/>
        <v>-0.23076923076923073</v>
      </c>
      <c r="L34" s="31">
        <f t="shared" si="0"/>
        <v>45900</v>
      </c>
    </row>
    <row r="35" spans="2:12" x14ac:dyDescent="0.35">
      <c r="B35" s="25">
        <f>Pivots!A47</f>
        <v>45809</v>
      </c>
      <c r="C35" s="26">
        <f>Pivots!B47</f>
        <v>11</v>
      </c>
      <c r="D35" s="27">
        <f>Pivots!C47</f>
        <v>4532000</v>
      </c>
      <c r="E35" s="27">
        <f>Pivots!D47</f>
        <v>412000</v>
      </c>
      <c r="F35" s="27">
        <f>Pivots!E47</f>
        <v>440000</v>
      </c>
      <c r="G35" s="28">
        <f>Pivots!F47</f>
        <v>59.272727272727273</v>
      </c>
      <c r="H35" s="29">
        <f>Pivots!G47</f>
        <v>0.97155679483234259</v>
      </c>
      <c r="I35" s="27">
        <f>Pivots!H47</f>
        <v>427852.9411764706</v>
      </c>
      <c r="J35" s="30">
        <f t="shared" si="1"/>
        <v>-3.2636769194646642E-2</v>
      </c>
      <c r="K35" s="30">
        <f t="shared" si="2"/>
        <v>0.10000000000000009</v>
      </c>
      <c r="L35" s="31">
        <f t="shared" si="0"/>
        <v>-28000</v>
      </c>
    </row>
    <row r="36" spans="2:12" x14ac:dyDescent="0.35">
      <c r="B36" s="25">
        <f>Pivots!A48</f>
        <v>45839</v>
      </c>
      <c r="C36" s="26">
        <f>Pivots!B48</f>
        <v>15</v>
      </c>
      <c r="D36" s="27">
        <f>Pivots!C48</f>
        <v>5009000</v>
      </c>
      <c r="E36" s="27">
        <f>Pivots!D48</f>
        <v>333933.33333333331</v>
      </c>
      <c r="F36" s="27">
        <f>Pivots!E48</f>
        <v>317000</v>
      </c>
      <c r="G36" s="28">
        <f>Pivots!F48</f>
        <v>55.928571428571431</v>
      </c>
      <c r="H36" s="29">
        <f>Pivots!G48</f>
        <v>0.95814605750184467</v>
      </c>
      <c r="I36" s="27">
        <f>Pivots!H48</f>
        <v>383333.33333333331</v>
      </c>
      <c r="J36" s="30">
        <f t="shared" si="1"/>
        <v>-0.18948220064724919</v>
      </c>
      <c r="K36" s="30">
        <f t="shared" si="2"/>
        <v>0.36363636363636354</v>
      </c>
      <c r="L36" s="31">
        <f t="shared" si="0"/>
        <v>16933.333333333314</v>
      </c>
    </row>
    <row r="37" spans="2:12" x14ac:dyDescent="0.35">
      <c r="B37" s="25">
        <f>Pivots!A49</f>
        <v>45870</v>
      </c>
      <c r="C37" s="26">
        <f>Pivots!B49</f>
        <v>13</v>
      </c>
      <c r="D37" s="27">
        <f>Pivots!C49</f>
        <v>5202000</v>
      </c>
      <c r="E37" s="27">
        <f>Pivots!D49</f>
        <v>400153.84615384613</v>
      </c>
      <c r="F37" s="27">
        <f>Pivots!E49</f>
        <v>373000</v>
      </c>
      <c r="G37" s="28">
        <f>Pivots!F49</f>
        <v>57.230769230769234</v>
      </c>
      <c r="H37" s="29">
        <f>Pivots!G49</f>
        <v>0.980635778612577</v>
      </c>
      <c r="I37" s="27">
        <f>Pivots!H49</f>
        <v>378025.641025641</v>
      </c>
      <c r="J37" s="30">
        <f t="shared" si="1"/>
        <v>0.19830459019918001</v>
      </c>
      <c r="K37" s="30">
        <f t="shared" si="2"/>
        <v>-0.1333333333333333</v>
      </c>
      <c r="L37" s="31">
        <f t="shared" si="0"/>
        <v>27153.846153846127</v>
      </c>
    </row>
    <row r="38" spans="2:12" x14ac:dyDescent="0.35">
      <c r="B38" s="25">
        <f>Pivots!A50</f>
        <v>45901</v>
      </c>
      <c r="C38" s="26">
        <f>Pivots!B50</f>
        <v>12</v>
      </c>
      <c r="D38" s="27">
        <f>Pivots!C50</f>
        <v>4268000</v>
      </c>
      <c r="E38" s="27">
        <f>Pivots!D50</f>
        <v>355666.66666666669</v>
      </c>
      <c r="F38" s="27">
        <f>Pivots!E50</f>
        <v>367500</v>
      </c>
      <c r="G38" s="28">
        <f>Pivots!F50</f>
        <v>49.583333333333336</v>
      </c>
      <c r="H38" s="29">
        <f>Pivots!G50</f>
        <v>0.97953162414604067</v>
      </c>
      <c r="I38" s="27">
        <f>Pivots!H50</f>
        <v>361975</v>
      </c>
      <c r="J38" s="30">
        <f t="shared" si="1"/>
        <v>-0.11117518902986023</v>
      </c>
      <c r="K38" s="30">
        <f t="shared" si="2"/>
        <v>-7.6923076923076872E-2</v>
      </c>
      <c r="L38" s="31">
        <f t="shared" si="0"/>
        <v>-11833.333333333314</v>
      </c>
    </row>
    <row r="39" spans="2:12" x14ac:dyDescent="0.35">
      <c r="B39" s="25">
        <f>Pivots!A51</f>
        <v>45931</v>
      </c>
      <c r="C39" s="26">
        <f>Pivots!B51</f>
        <v>13</v>
      </c>
      <c r="D39" s="27">
        <f>Pivots!C51</f>
        <v>5222000</v>
      </c>
      <c r="E39" s="27">
        <f>Pivots!D51</f>
        <v>401692.30769230769</v>
      </c>
      <c r="F39" s="27">
        <f>Pivots!E51</f>
        <v>422000</v>
      </c>
      <c r="G39" s="28">
        <f>Pivots!F51</f>
        <v>45.46153846153846</v>
      </c>
      <c r="H39" s="29">
        <f>Pivots!G51</f>
        <v>0.99006871377560912</v>
      </c>
      <c r="I39" s="27">
        <f>Pivots!H51</f>
        <v>386631.57894736843</v>
      </c>
      <c r="J39" s="30">
        <f t="shared" si="1"/>
        <v>0.12940667579842824</v>
      </c>
      <c r="K39" s="30">
        <f t="shared" si="2"/>
        <v>8.3333333333333259E-2</v>
      </c>
      <c r="L39" s="31">
        <f t="shared" si="0"/>
        <v>-20307.692307692312</v>
      </c>
    </row>
    <row r="40" spans="2:12" x14ac:dyDescent="0.35">
      <c r="B40" s="25">
        <f>Pivots!A52</f>
        <v>45962</v>
      </c>
      <c r="C40" s="26">
        <f>Pivots!B52</f>
        <v>11</v>
      </c>
      <c r="D40" s="27">
        <f>Pivots!C52</f>
        <v>4221000</v>
      </c>
      <c r="E40" s="27">
        <f>Pivots!D52</f>
        <v>383727.27272727271</v>
      </c>
      <c r="F40" s="27">
        <f>Pivots!E52</f>
        <v>329000</v>
      </c>
      <c r="G40" s="28">
        <f>Pivots!F52</f>
        <v>96.5</v>
      </c>
      <c r="H40" s="29">
        <f>Pivots!G52</f>
        <v>0.96472887767545512</v>
      </c>
      <c r="I40" s="27">
        <f>Pivots!H52</f>
        <v>380861.11111111112</v>
      </c>
      <c r="J40" s="30">
        <f t="shared" si="1"/>
        <v>-4.4723373141603795E-2</v>
      </c>
      <c r="K40" s="30">
        <f t="shared" si="2"/>
        <v>-0.15384615384615385</v>
      </c>
      <c r="L40" s="31">
        <f t="shared" si="0"/>
        <v>54727.272727272706</v>
      </c>
    </row>
    <row r="41" spans="2:12" x14ac:dyDescent="0.35">
      <c r="B41" s="25">
        <f>Pivots!A53</f>
        <v>45992</v>
      </c>
      <c r="C41" s="26">
        <f>Pivots!B53</f>
        <v>7</v>
      </c>
      <c r="D41" s="27">
        <f>Pivots!C53</f>
        <v>2504000</v>
      </c>
      <c r="E41" s="27">
        <f>Pivots!D53</f>
        <v>357714.28571428574</v>
      </c>
      <c r="F41" s="27">
        <f>Pivots!E53</f>
        <v>401000</v>
      </c>
      <c r="G41" s="28">
        <f>Pivots!F53</f>
        <v>63.714285714285715</v>
      </c>
      <c r="H41" s="29">
        <f>Pivots!G53</f>
        <v>0.97114190911790665</v>
      </c>
      <c r="I41" s="27">
        <f>Pivots!H53</f>
        <v>385387.09677419357</v>
      </c>
      <c r="J41" s="30">
        <f t="shared" si="1"/>
        <v>-6.7790300199681797E-2</v>
      </c>
      <c r="K41" s="30">
        <f t="shared" si="2"/>
        <v>-0.36363636363636365</v>
      </c>
      <c r="L41" s="31">
        <f t="shared" si="0"/>
        <v>-43285.714285714261</v>
      </c>
    </row>
    <row r="42" spans="2:12" x14ac:dyDescent="0.35">
      <c r="B42" s="25">
        <f>Pivots!A54</f>
        <v>46023</v>
      </c>
      <c r="C42" s="26">
        <f>Pivots!B54</f>
        <v>18</v>
      </c>
      <c r="D42" s="27">
        <f>Pivots!C54</f>
        <v>7468000</v>
      </c>
      <c r="E42" s="27">
        <f>Pivots!D54</f>
        <v>414888.88888888888</v>
      </c>
      <c r="F42" s="27">
        <f>Pivots!E54</f>
        <v>383000</v>
      </c>
      <c r="G42" s="28">
        <f>Pivots!F54</f>
        <v>59.294117647058826</v>
      </c>
      <c r="H42" s="29">
        <f>Pivots!G54</f>
        <v>0.9804714096165057</v>
      </c>
      <c r="I42" s="27">
        <f>Pivots!H54</f>
        <v>394250</v>
      </c>
      <c r="J42" s="30">
        <f t="shared" si="1"/>
        <v>0.1598331558395456</v>
      </c>
      <c r="K42" s="30">
        <f t="shared" si="2"/>
        <v>1.5714285714285716</v>
      </c>
      <c r="L42" s="31">
        <f t="shared" si="0"/>
        <v>31888.888888888876</v>
      </c>
    </row>
    <row r="43" spans="2:12" x14ac:dyDescent="0.35">
      <c r="B43" s="25">
        <f>Pivots!A55</f>
        <v>46054</v>
      </c>
      <c r="C43" s="26">
        <f>Pivots!B55</f>
        <v>9</v>
      </c>
      <c r="D43" s="27">
        <f>Pivots!C55</f>
        <v>3814000</v>
      </c>
      <c r="E43" s="27">
        <f>Pivots!D55</f>
        <v>423777.77777777775</v>
      </c>
      <c r="F43" s="27">
        <f>Pivots!E55</f>
        <v>436000</v>
      </c>
      <c r="G43" s="28">
        <f>Pivots!F55</f>
        <v>59.25</v>
      </c>
      <c r="H43" s="29">
        <f>Pivots!G55</f>
        <v>0.96375943617121274</v>
      </c>
      <c r="I43" s="27">
        <f>Pivots!H55</f>
        <v>405470.5882352941</v>
      </c>
      <c r="J43" s="30">
        <f t="shared" si="1"/>
        <v>2.1424745581146265E-2</v>
      </c>
      <c r="K43" s="30">
        <f t="shared" si="2"/>
        <v>-0.5</v>
      </c>
      <c r="L43" s="31">
        <f t="shared" si="0"/>
        <v>-12222.222222222248</v>
      </c>
    </row>
    <row r="44" spans="2:12" x14ac:dyDescent="0.35">
      <c r="B44" s="25">
        <f>Pivots!A56</f>
        <v>46082</v>
      </c>
      <c r="C44" s="26">
        <f>Pivots!B56</f>
        <v>10</v>
      </c>
      <c r="D44" s="27">
        <f>Pivots!C56</f>
        <v>3779000</v>
      </c>
      <c r="E44" s="27">
        <f>Pivots!D56</f>
        <v>377900</v>
      </c>
      <c r="F44" s="27">
        <f>Pivots!E56</f>
        <v>327500</v>
      </c>
      <c r="G44" s="28">
        <f>Pivots!F56</f>
        <v>53.8</v>
      </c>
      <c r="H44" s="29">
        <f>Pivots!G56</f>
        <v>0.9781673868437506</v>
      </c>
      <c r="I44" s="27">
        <f>Pivots!H56</f>
        <v>407054.05405405408</v>
      </c>
      <c r="J44" s="30">
        <f t="shared" si="1"/>
        <v>-0.10825904562139477</v>
      </c>
      <c r="K44" s="30">
        <f t="shared" si="2"/>
        <v>0.11111111111111116</v>
      </c>
      <c r="L44" s="31">
        <f t="shared" si="0"/>
        <v>50400</v>
      </c>
    </row>
    <row r="45" spans="2:12" x14ac:dyDescent="0.35">
      <c r="B45" s="25">
        <f>Pivots!A57</f>
        <v>46113</v>
      </c>
      <c r="C45" s="26">
        <f>Pivots!B57</f>
        <v>9</v>
      </c>
      <c r="D45" s="27">
        <f>Pivots!C57</f>
        <v>2767000</v>
      </c>
      <c r="E45" s="27">
        <f>Pivots!D57</f>
        <v>307444.44444444444</v>
      </c>
      <c r="F45" s="27">
        <f>Pivots!E57</f>
        <v>328000</v>
      </c>
      <c r="G45" s="28">
        <f>Pivots!F57</f>
        <v>44.875</v>
      </c>
      <c r="H45" s="29">
        <f>Pivots!G57</f>
        <v>0.97049760674024788</v>
      </c>
      <c r="I45" s="27">
        <f>Pivots!H57</f>
        <v>370000</v>
      </c>
      <c r="J45" s="30">
        <f t="shared" si="1"/>
        <v>-0.18643968127958599</v>
      </c>
      <c r="K45" s="30">
        <f t="shared" si="2"/>
        <v>-9.9999999999999978E-2</v>
      </c>
      <c r="L45" s="31">
        <f t="shared" si="0"/>
        <v>-20555.555555555562</v>
      </c>
    </row>
    <row r="46" spans="2:12" x14ac:dyDescent="0.35">
      <c r="B46" s="25">
        <f>Pivots!A58</f>
        <v>46143</v>
      </c>
      <c r="C46" s="26">
        <f>Pivots!B58</f>
        <v>16</v>
      </c>
      <c r="D46" s="27">
        <f>Pivots!C58</f>
        <v>5872000</v>
      </c>
      <c r="E46" s="27">
        <f>Pivots!D58</f>
        <v>367000</v>
      </c>
      <c r="F46" s="27">
        <f>Pivots!E58</f>
        <v>371000</v>
      </c>
      <c r="G46" s="28">
        <f>Pivots!F58</f>
        <v>55.6875</v>
      </c>
      <c r="H46" s="29">
        <f>Pivots!G58</f>
        <v>0.98026520258371819</v>
      </c>
      <c r="I46" s="27">
        <f>Pivots!H58</f>
        <v>354800</v>
      </c>
      <c r="J46" s="30">
        <f t="shared" si="1"/>
        <v>0.19371160101192619</v>
      </c>
      <c r="K46" s="30">
        <f t="shared" si="2"/>
        <v>0.77777777777777768</v>
      </c>
      <c r="L46" s="31">
        <f t="shared" si="0"/>
        <v>-4000</v>
      </c>
    </row>
    <row r="47" spans="2:12" x14ac:dyDescent="0.35">
      <c r="B47" s="25">
        <f>Pivots!A59</f>
        <v>46174</v>
      </c>
      <c r="C47" s="26">
        <f>Pivots!B59</f>
        <v>9</v>
      </c>
      <c r="D47" s="27">
        <f>Pivots!C59</f>
        <v>3197000</v>
      </c>
      <c r="E47" s="27">
        <f>Pivots!D59</f>
        <v>355222.22222222225</v>
      </c>
      <c r="F47" s="27">
        <f>Pivots!E59</f>
        <v>364000</v>
      </c>
      <c r="G47" s="28">
        <f>Pivots!F59</f>
        <v>51.333333333333336</v>
      </c>
      <c r="H47" s="29">
        <f>Pivots!G59</f>
        <v>0.9635090797044471</v>
      </c>
      <c r="I47" s="27">
        <f>Pivots!H59</f>
        <v>348117.64705882355</v>
      </c>
      <c r="J47" s="30">
        <f t="shared" si="1"/>
        <v>-3.2092037541628704E-2</v>
      </c>
      <c r="K47" s="30">
        <f t="shared" si="2"/>
        <v>-0.4375</v>
      </c>
      <c r="L47" s="31">
        <f t="shared" si="0"/>
        <v>-8777.7777777777519</v>
      </c>
    </row>
    <row r="48" spans="2:12" x14ac:dyDescent="0.35">
      <c r="B48" s="25">
        <f>Pivots!A60</f>
        <v>46204</v>
      </c>
      <c r="C48" s="26">
        <f>Pivots!B60</f>
        <v>21</v>
      </c>
      <c r="D48" s="27">
        <f>Pivots!C60</f>
        <v>6945000</v>
      </c>
      <c r="E48" s="27">
        <f>Pivots!D60</f>
        <v>330714.28571428574</v>
      </c>
      <c r="F48" s="27">
        <f>Pivots!E60</f>
        <v>343000</v>
      </c>
      <c r="G48" s="28">
        <f>Pivots!F60</f>
        <v>63.05</v>
      </c>
      <c r="H48" s="29">
        <f>Pivots!G60</f>
        <v>0.97610162394685729</v>
      </c>
      <c r="I48" s="27">
        <f>Pivots!H60</f>
        <v>348130.4347826087</v>
      </c>
      <c r="J48" s="30">
        <f t="shared" si="1"/>
        <v>-6.8993252602886579E-2</v>
      </c>
      <c r="K48" s="30">
        <f t="shared" si="2"/>
        <v>1.3333333333333335</v>
      </c>
      <c r="L48" s="31">
        <f t="shared" si="0"/>
        <v>-12285.714285714261</v>
      </c>
    </row>
    <row r="49" spans="2:12" x14ac:dyDescent="0.35">
      <c r="B49" s="25">
        <f>Pivots!A61</f>
        <v>46235</v>
      </c>
      <c r="C49" s="26">
        <f>Pivots!B61</f>
        <v>5</v>
      </c>
      <c r="D49" s="27">
        <f>Pivots!C61</f>
        <v>2119000</v>
      </c>
      <c r="E49" s="27">
        <f>Pivots!D61</f>
        <v>423800</v>
      </c>
      <c r="F49" s="27">
        <f>Pivots!E61</f>
        <v>355000</v>
      </c>
      <c r="G49" s="28">
        <f>Pivots!F61</f>
        <v>60.8</v>
      </c>
      <c r="H49" s="29">
        <f>Pivots!G61</f>
        <v>0.98830452815085967</v>
      </c>
      <c r="I49" s="27">
        <f>Pivots!H61</f>
        <v>350314.28571428574</v>
      </c>
      <c r="J49" s="30">
        <f t="shared" si="1"/>
        <v>0.28146868250539958</v>
      </c>
      <c r="K49" s="30">
        <f t="shared" si="2"/>
        <v>-0.76190476190476186</v>
      </c>
      <c r="L49" s="31">
        <f t="shared" si="0"/>
        <v>68800</v>
      </c>
    </row>
    <row r="50" spans="2:12" x14ac:dyDescent="0.35">
      <c r="B50" s="32" t="s">
        <v>59</v>
      </c>
      <c r="C50" s="33">
        <f>SUM(C30:C49)</f>
        <v>250</v>
      </c>
      <c r="D50" s="34">
        <f>SUM(D30:D49)</f>
        <v>97600000</v>
      </c>
      <c r="E50" s="34">
        <f>AVERAGE(d_price)</f>
        <v>390400</v>
      </c>
      <c r="F50" s="34">
        <f>MEDIAN(d_price)</f>
        <v>366000</v>
      </c>
      <c r="G50" s="35">
        <f>AVERAGE(d_dom)</f>
        <v>57.371900826446279</v>
      </c>
      <c r="H50" s="36">
        <f>AVERAGE(d_stl)</f>
        <v>0.97491350804585453</v>
      </c>
      <c r="I50" s="37"/>
      <c r="J50" s="37"/>
      <c r="K50" s="37"/>
      <c r="L50" s="37"/>
    </row>
    <row r="51" spans="2:12" x14ac:dyDescent="0.35">
      <c r="B51" s="38" t="str">
        <f>" Note: "&amp;TEXT(B49,"mmm-yy")&amp;" is a partial month (data ends "&amp;TEXT(MAX(d_date),"d mmm yyyy")&amp;")."</f>
        <v xml:space="preserve"> Note: Aug-26 is a partial month (data ends 23 Aug 2026).</v>
      </c>
    </row>
  </sheetData>
  <mergeCells count="25">
    <mergeCell ref="B28:M28"/>
    <mergeCell ref="I10:M12"/>
    <mergeCell ref="I13:M15"/>
    <mergeCell ref="I16:M18"/>
    <mergeCell ref="I19:M21"/>
    <mergeCell ref="I22:M24"/>
    <mergeCell ref="B7:D7"/>
    <mergeCell ref="E7:G7"/>
    <mergeCell ref="H7:J7"/>
    <mergeCell ref="K7:M7"/>
    <mergeCell ref="B9:G9"/>
    <mergeCell ref="I9:M9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C3:D3"/>
    <mergeCell ref="E3:F3"/>
    <mergeCell ref="G3:M3"/>
  </mergeCells>
  <conditionalFormatting sqref="C30:C49">
    <cfRule type="dataBar" priority="4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{94B3F410-954F-4B29-8DEE-C54CA374515F}</x14:id>
        </ext>
      </extLst>
    </cfRule>
  </conditionalFormatting>
  <conditionalFormatting sqref="J31:K49">
    <cfRule type="cellIs" dxfId="5" priority="2" operator="greaterThan">
      <formula>0</formula>
    </cfRule>
    <cfRule type="cellIs" dxfId="4" priority="3" operator="lessThan">
      <formula>0</formula>
    </cfRule>
  </conditionalFormatting>
  <hyperlinks>
    <hyperlink ref="B3" location="'Dashboard'!A1" display="◂ Back to Dashboard" xr:uid="{00000000-0004-0000-0100-000000000000}"/>
    <hyperlink ref="C3" location="'D8_Bedrooms'!A1" display="◂ Previous graph" xr:uid="{00000000-0004-0000-0100-000001000000}"/>
    <hyperlink ref="E3" location="'D2_Neighborhood'!A1" display="Next graph ▸" xr:uid="{00000000-0004-0000-0100-000002000000}"/>
  </hyperlink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94B3F410-954F-4B29-8DEE-C54CA374515F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C30:C49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9A23B"/>
    <pageSetUpPr fitToPage="1"/>
  </sheetPr>
  <dimension ref="B1:M50"/>
  <sheetViews>
    <sheetView showGridLines="0" zoomScaleNormal="100" workbookViewId="0">
      <selection activeCell="C3" sqref="C3:D3"/>
    </sheetView>
  </sheetViews>
  <sheetFormatPr defaultColWidth="8.6328125" defaultRowHeight="14.5" x14ac:dyDescent="0.35"/>
  <cols>
    <col min="1" max="1" width="2" customWidth="1"/>
    <col min="2" max="2" width="21" customWidth="1"/>
    <col min="3" max="13" width="13" customWidth="1"/>
    <col min="14" max="14" width="2" customWidth="1"/>
  </cols>
  <sheetData>
    <row r="1" spans="2:13" ht="33.75" customHeight="1" x14ac:dyDescent="0.35">
      <c r="B1" s="112" t="s">
        <v>60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2:13" ht="18" customHeight="1" x14ac:dyDescent="0.35">
      <c r="B2" s="12" t="s">
        <v>61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21.75" customHeight="1" x14ac:dyDescent="0.35">
      <c r="B3" s="22" t="s">
        <v>36</v>
      </c>
      <c r="C3" s="111" t="s">
        <v>37</v>
      </c>
      <c r="D3" s="111"/>
      <c r="E3" s="111" t="s">
        <v>38</v>
      </c>
      <c r="F3" s="111"/>
      <c r="G3" s="113" t="s">
        <v>62</v>
      </c>
      <c r="H3" s="113"/>
      <c r="I3" s="113"/>
      <c r="J3" s="113"/>
      <c r="K3" s="113"/>
      <c r="L3" s="113"/>
      <c r="M3" s="113"/>
    </row>
    <row r="4" spans="2:13" ht="7.5" customHeight="1" x14ac:dyDescent="0.35"/>
    <row r="5" spans="2:13" ht="15.75" customHeight="1" x14ac:dyDescent="0.35">
      <c r="B5" s="9" t="s">
        <v>63</v>
      </c>
      <c r="C5" s="9"/>
      <c r="D5" s="9"/>
      <c r="E5" s="9" t="s">
        <v>64</v>
      </c>
      <c r="F5" s="9"/>
      <c r="G5" s="9"/>
      <c r="H5" s="9" t="s">
        <v>65</v>
      </c>
      <c r="I5" s="9"/>
      <c r="J5" s="9"/>
      <c r="K5" s="9" t="s">
        <v>66</v>
      </c>
      <c r="L5" s="9"/>
      <c r="M5" s="9"/>
    </row>
    <row r="6" spans="2:13" ht="30" customHeight="1" x14ac:dyDescent="0.35">
      <c r="B6" s="120" t="str">
        <f>INDEX($B$30:$B$34,MATCH(MAX($E$30:$E$34),$E$30:$E$34,0))</f>
        <v>Oak Hill</v>
      </c>
      <c r="C6" s="120"/>
      <c r="D6" s="120"/>
      <c r="E6" s="120" t="str">
        <f>INDEX($B$30:$B$34,MATCH(MIN($E$30:$E$34),$E$30:$E$34,0))</f>
        <v>Cedar Park</v>
      </c>
      <c r="F6" s="120"/>
      <c r="G6" s="120"/>
      <c r="H6" s="121">
        <f>MAX($E$30:$E$34)/MIN($E$30:$E$34)-1</f>
        <v>0.72461462267071131</v>
      </c>
      <c r="I6" s="121"/>
      <c r="J6" s="121"/>
      <c r="K6" s="122">
        <f>E35</f>
        <v>390400</v>
      </c>
      <c r="L6" s="122"/>
      <c r="M6" s="122"/>
    </row>
    <row r="7" spans="2:13" ht="15.75" customHeight="1" x14ac:dyDescent="0.35">
      <c r="B7" s="3" t="str">
        <f>TEXT(MAX($E$30:$E$34),"$#,##0")&amp;" avg price"</f>
        <v>$4,92,621 avg price</v>
      </c>
      <c r="C7" s="3"/>
      <c r="D7" s="3"/>
      <c r="E7" s="3" t="str">
        <f>TEXT(MIN($E$30:$E$34),"$#,##0")&amp;" avg price"</f>
        <v>$2,85,641 avg price</v>
      </c>
      <c r="F7" s="3"/>
      <c r="G7" s="3"/>
      <c r="H7" s="3" t="str">
        <f>"premium of priciest over cheapest area"</f>
        <v>premium of priciest over cheapest area</v>
      </c>
      <c r="I7" s="3"/>
      <c r="J7" s="3"/>
      <c r="K7" s="3" t="str">
        <f>"Median "&amp;TEXT(F35,"$#,##0")</f>
        <v>Median $3,66,000</v>
      </c>
      <c r="L7" s="3"/>
      <c r="M7" s="3"/>
    </row>
    <row r="8" spans="2:13" ht="7.5" customHeight="1" x14ac:dyDescent="0.35"/>
    <row r="9" spans="2:13" x14ac:dyDescent="0.35">
      <c r="B9" s="117" t="s">
        <v>44</v>
      </c>
      <c r="C9" s="117"/>
      <c r="D9" s="117"/>
      <c r="E9" s="117"/>
      <c r="F9" s="117"/>
      <c r="G9" s="117"/>
      <c r="I9" s="117" t="s">
        <v>45</v>
      </c>
      <c r="J9" s="117"/>
      <c r="K9" s="117"/>
      <c r="L9" s="117"/>
      <c r="M9" s="117"/>
    </row>
    <row r="10" spans="2:13" x14ac:dyDescent="0.35">
      <c r="I10" s="118" t="str">
        <f>"Priciest: "&amp;INDEX($B$30:$B$34,MATCH(MAX($E$30:$E$34),$E$30:$E$34,0))&amp;" ("&amp;TEXT(MAX($E$30:$E$34),"$#,##0")&amp;"); most affordable: "&amp;INDEX($B$30:$B$34,MATCH(MIN($E$30:$E$34),$E$30:$E$34,0))&amp;" ("&amp;TEXT(MIN($E$30:$E$34),"$#,##0")&amp;") — a "&amp;TEXT(MAX($E$30:$E$34)/MIN($E$30:$E$34)-1,"0%")&amp;" spread."</f>
        <v>Priciest: Oak Hill ($4,92,621); most affordable: Cedar Park ($2,85,641) — a 72% spread.</v>
      </c>
      <c r="J10" s="118"/>
      <c r="K10" s="118"/>
      <c r="L10" s="118"/>
      <c r="M10" s="118"/>
    </row>
    <row r="11" spans="2:13" x14ac:dyDescent="0.35">
      <c r="I11" s="118"/>
      <c r="J11" s="118"/>
      <c r="K11" s="118"/>
      <c r="L11" s="118"/>
      <c r="M11" s="118"/>
    </row>
    <row r="12" spans="2:13" x14ac:dyDescent="0.35">
      <c r="I12" s="118"/>
      <c r="J12" s="118"/>
      <c r="K12" s="118"/>
      <c r="L12" s="118"/>
      <c r="M12" s="118"/>
    </row>
    <row r="13" spans="2:13" x14ac:dyDescent="0.35">
      <c r="I13" s="119" t="str">
        <f>"Largest share of sales: "&amp;INDEX($B$30:$B$34,MATCH(MAX($C$30:$C$34),$C$30:$C$34,0))&amp;" ("&amp;TEXT(MAX($D$30:$D$34),"0.0%")&amp;" of all sales)."</f>
        <v>Largest share of sales: Riverside (24.8% of all sales).</v>
      </c>
      <c r="J13" s="119"/>
      <c r="K13" s="119"/>
      <c r="L13" s="119"/>
      <c r="M13" s="119"/>
    </row>
    <row r="14" spans="2:13" x14ac:dyDescent="0.35">
      <c r="I14" s="119"/>
      <c r="J14" s="119"/>
      <c r="K14" s="119"/>
      <c r="L14" s="119"/>
      <c r="M14" s="119"/>
    </row>
    <row r="15" spans="2:13" x14ac:dyDescent="0.35">
      <c r="I15" s="119"/>
      <c r="J15" s="119"/>
      <c r="K15" s="119"/>
      <c r="L15" s="119"/>
      <c r="M15" s="119"/>
    </row>
    <row r="16" spans="2:13" x14ac:dyDescent="0.35">
      <c r="I16" s="118" t="str">
        <f>"Widest average-vs-median gap: "&amp;INDEX($B$30:$B$34,MATCH(MAX($G$30:$G$34),$G$30:$G$34,0))&amp;" ("&amp;TEXT(MAX($G$30:$G$34),"$#,##0")&amp;") — a few expensive sales lift its average."</f>
        <v>Widest average-vs-median gap: Oak Hill ($42,121) — a few expensive sales lift its average.</v>
      </c>
      <c r="J16" s="118"/>
      <c r="K16" s="118"/>
      <c r="L16" s="118"/>
      <c r="M16" s="118"/>
    </row>
    <row r="17" spans="2:13" x14ac:dyDescent="0.35">
      <c r="I17" s="118"/>
      <c r="J17" s="118"/>
      <c r="K17" s="118"/>
      <c r="L17" s="118"/>
      <c r="M17" s="118"/>
    </row>
    <row r="18" spans="2:13" x14ac:dyDescent="0.35">
      <c r="I18" s="118"/>
      <c r="J18" s="118"/>
      <c r="K18" s="118"/>
      <c r="L18" s="118"/>
      <c r="M18" s="118"/>
    </row>
    <row r="19" spans="2:13" x14ac:dyDescent="0.35">
      <c r="I19" s="119" t="str">
        <f>"Best value per sq ft: "&amp;INDEX($B$30:$B$34,MATCH(MIN($I$30:$I$34),$I$30:$I$34,0))&amp;" ("&amp;TEXT(MIN($I$30:$I$34),"$#,##0")&amp;") vs "&amp;INDEX($B$30:$B$34,MATCH(MAX($I$30:$I$34),$I$30:$I$34,0))&amp;" ("&amp;TEXT(MAX($I$30:$I$34),"$#,##0")&amp;")."</f>
        <v>Best value per sq ft: Cedar Park ($172) vs Downtown ($297).</v>
      </c>
      <c r="J19" s="119"/>
      <c r="K19" s="119"/>
      <c r="L19" s="119"/>
      <c r="M19" s="119"/>
    </row>
    <row r="20" spans="2:13" x14ac:dyDescent="0.35">
      <c r="I20" s="119"/>
      <c r="J20" s="119"/>
      <c r="K20" s="119"/>
      <c r="L20" s="119"/>
      <c r="M20" s="119"/>
    </row>
    <row r="21" spans="2:13" x14ac:dyDescent="0.35">
      <c r="I21" s="119"/>
      <c r="J21" s="119"/>
      <c r="K21" s="119"/>
      <c r="L21" s="119"/>
      <c r="M21" s="119"/>
    </row>
    <row r="22" spans="2:13" x14ac:dyDescent="0.35">
      <c r="I22" s="118" t="str">
        <f>COUNTIF($H$30:$H$34,"&gt;0")&amp;" of "&amp;COUNT($H$30:$H$34)&amp;" neighborhoods price above the market average."</f>
        <v>2 of 5 neighborhoods price above the market average.</v>
      </c>
      <c r="J22" s="118"/>
      <c r="K22" s="118"/>
      <c r="L22" s="118"/>
      <c r="M22" s="118"/>
    </row>
    <row r="23" spans="2:13" x14ac:dyDescent="0.35">
      <c r="I23" s="118"/>
      <c r="J23" s="118"/>
      <c r="K23" s="118"/>
      <c r="L23" s="118"/>
      <c r="M23" s="118"/>
    </row>
    <row r="24" spans="2:13" x14ac:dyDescent="0.35">
      <c r="I24" s="118"/>
      <c r="J24" s="118"/>
      <c r="K24" s="118"/>
      <c r="L24" s="118"/>
      <c r="M24" s="118"/>
    </row>
    <row r="28" spans="2:13" x14ac:dyDescent="0.35">
      <c r="B28" s="117" t="s">
        <v>46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</row>
    <row r="29" spans="2:13" ht="30" customHeight="1" x14ac:dyDescent="0.35">
      <c r="B29" s="23" t="s">
        <v>25</v>
      </c>
      <c r="C29" s="24" t="s">
        <v>48</v>
      </c>
      <c r="D29" s="24" t="s">
        <v>67</v>
      </c>
      <c r="E29" s="24" t="s">
        <v>50</v>
      </c>
      <c r="F29" s="24" t="s">
        <v>51</v>
      </c>
      <c r="G29" s="24" t="s">
        <v>57</v>
      </c>
      <c r="H29" s="24" t="s">
        <v>68</v>
      </c>
      <c r="I29" s="24" t="s">
        <v>69</v>
      </c>
      <c r="J29" s="24" t="s">
        <v>70</v>
      </c>
      <c r="K29" s="24" t="s">
        <v>71</v>
      </c>
    </row>
    <row r="30" spans="2:13" x14ac:dyDescent="0.35">
      <c r="B30" s="39" t="s">
        <v>72</v>
      </c>
      <c r="C30" s="26">
        <f>COUNTIFS(d_nbhd,$B30)</f>
        <v>39</v>
      </c>
      <c r="D30" s="29">
        <f t="shared" ref="D30:D35" si="0">C30/C$35</f>
        <v>0.156</v>
      </c>
      <c r="E30" s="27">
        <f>IFERROR(AVERAGEIFS(d_price,d_nbhd,$B30),"")</f>
        <v>285641.02564102563</v>
      </c>
      <c r="F30" s="27">
        <f t="array" ref="F30">IFERROR(MEDIAN(IF(d_nbhd=$B30,d_price)),"")</f>
        <v>306000</v>
      </c>
      <c r="G30" s="31">
        <f t="shared" ref="G30:G35" si="1">IFERROR(E30-F30,"")</f>
        <v>-20358.974358974374</v>
      </c>
      <c r="H30" s="30">
        <f>IFERROR(E30/E$35-1,"")</f>
        <v>-0.26833753678015981</v>
      </c>
      <c r="I30" s="27">
        <f>IFERROR(AVERAGEIFS(d_psf,d_nbhd,$B30),"")</f>
        <v>172.14713499472541</v>
      </c>
      <c r="J30" s="40">
        <f>IFERROR(AVERAGEIFS(d_sqft,d_nbhd,$B30),"")</f>
        <v>1668.7179487179487</v>
      </c>
      <c r="K30" s="26">
        <f>RANK(E30,E$30:E$34)</f>
        <v>5</v>
      </c>
    </row>
    <row r="31" spans="2:13" x14ac:dyDescent="0.35">
      <c r="B31" s="39" t="s">
        <v>73</v>
      </c>
      <c r="C31" s="26">
        <f>COUNTIFS(d_nbhd,$B31)</f>
        <v>36</v>
      </c>
      <c r="D31" s="29">
        <f t="shared" si="0"/>
        <v>0.14399999999999999</v>
      </c>
      <c r="E31" s="27">
        <f>IFERROR(AVERAGEIFS(d_price,d_nbhd,$B31),"")</f>
        <v>429972.22222222225</v>
      </c>
      <c r="F31" s="27">
        <f t="array" ref="F31">IFERROR(MEDIAN(IF(d_nbhd=$B31,d_price)),"")</f>
        <v>407000</v>
      </c>
      <c r="G31" s="31">
        <f t="shared" si="1"/>
        <v>22972.222222222248</v>
      </c>
      <c r="H31" s="30">
        <f>IFERROR(E31/E$35-1,"")</f>
        <v>0.10136327413479052</v>
      </c>
      <c r="I31" s="27">
        <f>IFERROR(AVERAGEIFS(d_psf,d_nbhd,$B31),"")</f>
        <v>296.95506371725855</v>
      </c>
      <c r="J31" s="40">
        <f>IFERROR(AVERAGEIFS(d_sqft,d_nbhd,$B31),"")</f>
        <v>1458.8888888888889</v>
      </c>
      <c r="K31" s="26">
        <f>RANK(E31,E$30:E$34)</f>
        <v>2</v>
      </c>
    </row>
    <row r="32" spans="2:13" x14ac:dyDescent="0.35">
      <c r="B32" s="39" t="s">
        <v>74</v>
      </c>
      <c r="C32" s="26">
        <f>COUNTIFS(d_nbhd,$B32)</f>
        <v>51</v>
      </c>
      <c r="D32" s="29">
        <f t="shared" si="0"/>
        <v>0.20399999999999999</v>
      </c>
      <c r="E32" s="27">
        <f>IFERROR(AVERAGEIFS(d_price,d_nbhd,$B32),"")</f>
        <v>336588.23529411765</v>
      </c>
      <c r="F32" s="27">
        <f t="array" ref="F32">IFERROR(MEDIAN(IF(d_nbhd=$B32,d_price)),"")</f>
        <v>339000</v>
      </c>
      <c r="G32" s="31">
        <f t="shared" si="1"/>
        <v>-2411.7647058823495</v>
      </c>
      <c r="H32" s="30">
        <f>IFERROR(E32/E$35-1,"")</f>
        <v>-0.13783751205400196</v>
      </c>
      <c r="I32" s="27">
        <f>IFERROR(AVERAGEIFS(d_psf,d_nbhd,$B32),"")</f>
        <v>193.36795614146104</v>
      </c>
      <c r="J32" s="40">
        <f>IFERROR(AVERAGEIFS(d_sqft,d_nbhd,$B32),"")</f>
        <v>1758.2352941176471</v>
      </c>
      <c r="K32" s="26">
        <f>RANK(E32,E$30:E$34)</f>
        <v>4</v>
      </c>
    </row>
    <row r="33" spans="2:13" x14ac:dyDescent="0.35">
      <c r="B33" s="39" t="s">
        <v>75</v>
      </c>
      <c r="C33" s="26">
        <f>COUNTIFS(d_nbhd,$B33)</f>
        <v>58</v>
      </c>
      <c r="D33" s="29">
        <f t="shared" si="0"/>
        <v>0.23200000000000001</v>
      </c>
      <c r="E33" s="27">
        <f>IFERROR(AVERAGEIFS(d_price,d_nbhd,$B33),"")</f>
        <v>492620.68965517241</v>
      </c>
      <c r="F33" s="27">
        <f t="array" ref="F33">IFERROR(MEDIAN(IF(d_nbhd=$B33,d_price)),"")</f>
        <v>450500</v>
      </c>
      <c r="G33" s="31">
        <f t="shared" si="1"/>
        <v>42120.689655172406</v>
      </c>
      <c r="H33" s="30">
        <f>IFERROR(E33/E$35-1,"")</f>
        <v>0.26183578292820808</v>
      </c>
      <c r="I33" s="27">
        <f>IFERROR(AVERAGEIFS(d_psf,d_nbhd,$B33),"")</f>
        <v>252.82581500983076</v>
      </c>
      <c r="J33" s="40">
        <f>IFERROR(AVERAGEIFS(d_sqft,d_nbhd,$B33),"")</f>
        <v>1877.9310344827586</v>
      </c>
      <c r="K33" s="26">
        <f>RANK(E33,E$30:E$34)</f>
        <v>1</v>
      </c>
    </row>
    <row r="34" spans="2:13" x14ac:dyDescent="0.35">
      <c r="B34" s="39" t="s">
        <v>76</v>
      </c>
      <c r="C34" s="26">
        <f>COUNTIFS(d_nbhd,$B34)</f>
        <v>62</v>
      </c>
      <c r="D34" s="29">
        <f t="shared" si="0"/>
        <v>0.248</v>
      </c>
      <c r="E34" s="27">
        <f>IFERROR(AVERAGEIFS(d_price,d_nbhd,$B34),"")</f>
        <v>383145.16129032261</v>
      </c>
      <c r="F34" s="27">
        <f t="array" ref="F34">IFERROR(MEDIAN(IF(d_nbhd=$B34,d_price)),"")</f>
        <v>381500</v>
      </c>
      <c r="G34" s="31">
        <f t="shared" si="1"/>
        <v>1645.1612903226051</v>
      </c>
      <c r="H34" s="30">
        <f>IFERROR(E34/E$35-1,"")</f>
        <v>-1.8583090957165482E-2</v>
      </c>
      <c r="I34" s="27">
        <f>IFERROR(AVERAGEIFS(d_psf,d_nbhd,$B34),"")</f>
        <v>221.25058775598225</v>
      </c>
      <c r="J34" s="40">
        <f>IFERROR(AVERAGEIFS(d_sqft,d_nbhd,$B34),"")</f>
        <v>1745.1612903225807</v>
      </c>
      <c r="K34" s="26">
        <f>RANK(E34,E$30:E$34)</f>
        <v>3</v>
      </c>
    </row>
    <row r="35" spans="2:13" x14ac:dyDescent="0.35">
      <c r="B35" s="41" t="s">
        <v>77</v>
      </c>
      <c r="C35" s="33">
        <f>COUNT(d_price)</f>
        <v>250</v>
      </c>
      <c r="D35" s="36">
        <f t="shared" si="0"/>
        <v>1</v>
      </c>
      <c r="E35" s="34">
        <f>AVERAGE(d_price)</f>
        <v>390400</v>
      </c>
      <c r="F35" s="34">
        <f>MEDIAN(d_price)</f>
        <v>366000</v>
      </c>
      <c r="G35" s="42">
        <f t="shared" si="1"/>
        <v>24400</v>
      </c>
      <c r="H35" s="43" t="s">
        <v>58</v>
      </c>
      <c r="I35" s="34">
        <f>AVERAGE(d_psf)</f>
        <v>225.90432319664487</v>
      </c>
      <c r="J35" s="44">
        <f>AVERAGE(d_sqft)</f>
        <v>1727.04</v>
      </c>
      <c r="K35" s="33" t="s">
        <v>58</v>
      </c>
    </row>
    <row r="36" spans="2:13" x14ac:dyDescent="0.35">
      <c r="B36" s="38" t="str">
        <f>"Note: "&amp;COUNTIF(d_nbhd,"Unknown")&amp;" sales have an unknown neighborhood — they count in the Market row only."</f>
        <v>Note: 4 sales have an unknown neighborhood — they count in the Market row only.</v>
      </c>
    </row>
    <row r="38" spans="2:13" x14ac:dyDescent="0.35">
      <c r="B38" s="123" t="s">
        <v>78</v>
      </c>
      <c r="C38" s="123"/>
      <c r="D38" s="123"/>
      <c r="E38" s="123"/>
      <c r="F38" s="123"/>
      <c r="G38" s="123"/>
      <c r="H38" s="123"/>
      <c r="I38" s="123"/>
      <c r="J38" s="123"/>
      <c r="K38" s="123"/>
      <c r="L38" s="123"/>
      <c r="M38" s="123"/>
    </row>
    <row r="39" spans="2:13" x14ac:dyDescent="0.35">
      <c r="B39" s="45" t="s">
        <v>79</v>
      </c>
      <c r="C39" s="10" t="s">
        <v>75</v>
      </c>
      <c r="D39" s="10"/>
    </row>
    <row r="41" spans="2:13" ht="30" customHeight="1" x14ac:dyDescent="0.35">
      <c r="B41" s="23" t="s">
        <v>80</v>
      </c>
      <c r="C41" s="24" t="s">
        <v>81</v>
      </c>
      <c r="D41" s="24" t="s">
        <v>82</v>
      </c>
      <c r="E41" s="24" t="s">
        <v>83</v>
      </c>
      <c r="G41" s="23" t="s">
        <v>84</v>
      </c>
      <c r="H41" s="24" t="s">
        <v>48</v>
      </c>
      <c r="I41" s="24" t="s">
        <v>85</v>
      </c>
      <c r="J41" s="24" t="s">
        <v>69</v>
      </c>
    </row>
    <row r="42" spans="2:13" x14ac:dyDescent="0.35">
      <c r="B42" s="46" t="s">
        <v>30</v>
      </c>
      <c r="C42" s="26">
        <f>COUNTIFS(d_nbhd,$C$39)</f>
        <v>58</v>
      </c>
      <c r="D42" s="26">
        <f>COUNT(d_price)</f>
        <v>250</v>
      </c>
      <c r="E42" s="26">
        <f t="shared" ref="E42:E50" si="2">IFERROR(C42-D42,"")</f>
        <v>-192</v>
      </c>
      <c r="G42" s="46" t="s">
        <v>26</v>
      </c>
      <c r="H42" s="47">
        <f>COUNTIFS(d_nbhd,$C$39,d_type,G42)</f>
        <v>11</v>
      </c>
      <c r="I42" s="27">
        <f>IFERROR(AVERAGEIFS(d_price,d_nbhd,$C$39,d_type,G42),"—")</f>
        <v>308090.90909090912</v>
      </c>
      <c r="J42" s="27">
        <f>IFERROR(AVERAGEIFS(d_psf,d_nbhd,$C$39,d_type,G42),"—")</f>
        <v>236.25446343781002</v>
      </c>
    </row>
    <row r="43" spans="2:13" x14ac:dyDescent="0.35">
      <c r="B43" s="46" t="s">
        <v>85</v>
      </c>
      <c r="C43" s="27">
        <f>IFERROR(AVERAGEIFS(d_price,d_nbhd,$C$39),"")</f>
        <v>492620.68965517241</v>
      </c>
      <c r="D43" s="27">
        <f>AVERAGE(d_price)</f>
        <v>390400</v>
      </c>
      <c r="E43" s="31">
        <f t="shared" si="2"/>
        <v>102220.68965517241</v>
      </c>
      <c r="G43" s="46" t="s">
        <v>27</v>
      </c>
      <c r="H43" s="47">
        <f>COUNTIFS(d_nbhd,$C$39,d_type,G43)</f>
        <v>37</v>
      </c>
      <c r="I43" s="27">
        <f>IFERROR(AVERAGEIFS(d_price,d_nbhd,$C$39,d_type,G43),"—")</f>
        <v>572756.7567567568</v>
      </c>
      <c r="J43" s="27">
        <f>IFERROR(AVERAGEIFS(d_psf,d_nbhd,$C$39,d_type,G43),"—")</f>
        <v>258.38389208111278</v>
      </c>
    </row>
    <row r="44" spans="2:13" x14ac:dyDescent="0.35">
      <c r="B44" s="46" t="s">
        <v>86</v>
      </c>
      <c r="C44" s="27">
        <f t="array" ref="C44">IFERROR(MEDIAN(IF(d_nbhd=$C$39,d_price)),"")</f>
        <v>450500</v>
      </c>
      <c r="D44" s="27">
        <f>MEDIAN(d_price)</f>
        <v>366000</v>
      </c>
      <c r="E44" s="31">
        <f t="shared" si="2"/>
        <v>84500</v>
      </c>
      <c r="G44" s="46" t="s">
        <v>28</v>
      </c>
      <c r="H44" s="47">
        <f>COUNTIFS(d_nbhd,$C$39,d_type,G44)</f>
        <v>10</v>
      </c>
      <c r="I44" s="27">
        <f>IFERROR(AVERAGEIFS(d_price,d_nbhd,$C$39,d_type,G44),"—")</f>
        <v>399100</v>
      </c>
      <c r="J44" s="27">
        <f>IFERROR(AVERAGEIFS(d_psf,d_nbhd,$C$39,d_type,G44),"—")</f>
        <v>250.48941657530992</v>
      </c>
    </row>
    <row r="45" spans="2:13" x14ac:dyDescent="0.35">
      <c r="B45" s="46" t="s">
        <v>69</v>
      </c>
      <c r="C45" s="27">
        <f>IFERROR(AVERAGEIFS(d_psf,d_nbhd,$C$39),"")</f>
        <v>252.82581500983076</v>
      </c>
      <c r="D45" s="27">
        <f>AVERAGE(d_psf)</f>
        <v>225.90432319664487</v>
      </c>
      <c r="E45" s="31">
        <f t="shared" si="2"/>
        <v>26.921491813185895</v>
      </c>
    </row>
    <row r="46" spans="2:13" x14ac:dyDescent="0.35">
      <c r="B46" s="46" t="s">
        <v>87</v>
      </c>
      <c r="C46" s="40">
        <f>IFERROR(AVERAGEIFS(d_sqft,d_nbhd,$C$39),"")</f>
        <v>1877.9310344827586</v>
      </c>
      <c r="D46" s="40">
        <f>AVERAGE(d_sqft)</f>
        <v>1727.04</v>
      </c>
      <c r="E46" s="48">
        <f t="shared" si="2"/>
        <v>150.89103448275864</v>
      </c>
      <c r="G46" s="49" t="str">
        <f>"Top type: "&amp;INDEX(G42:G44,MATCH(MAX(H42:H44),H42:H44,0))&amp;" ("&amp;TEXT(MAX(H42:H44)/C42,"0%")&amp;" of this area's sales)"</f>
        <v>Top type: Single Family (64% of this area's sales)</v>
      </c>
    </row>
    <row r="47" spans="2:13" x14ac:dyDescent="0.35">
      <c r="B47" s="46" t="s">
        <v>88</v>
      </c>
      <c r="C47" s="50">
        <f>IFERROR(AVERAGEIFS(d_beds,d_nbhd,$C$39),"")</f>
        <v>3.1896551724137931</v>
      </c>
      <c r="D47" s="50">
        <f>AVERAGE(d_beds)</f>
        <v>2.988</v>
      </c>
      <c r="E47" s="51">
        <f t="shared" si="2"/>
        <v>0.20165517241379316</v>
      </c>
    </row>
    <row r="48" spans="2:13" x14ac:dyDescent="0.35">
      <c r="B48" s="46" t="s">
        <v>89</v>
      </c>
      <c r="C48" s="28">
        <f>IFERROR(AVERAGEIFS(d_dom,d_nbhd,$C$39),"")</f>
        <v>58.142857142857146</v>
      </c>
      <c r="D48" s="28">
        <f>AVERAGE(d_dom)</f>
        <v>57.371900826446279</v>
      </c>
      <c r="E48" s="52">
        <f t="shared" si="2"/>
        <v>0.77095631641086726</v>
      </c>
    </row>
    <row r="49" spans="2:5" x14ac:dyDescent="0.35">
      <c r="B49" s="46" t="s">
        <v>90</v>
      </c>
      <c r="C49" s="29">
        <f>IFERROR(AVERAGEIFS(d_stl,d_nbhd,$C$39),"")</f>
        <v>0.97342953711263269</v>
      </c>
      <c r="D49" s="29">
        <f>AVERAGE(d_stl)</f>
        <v>0.97491350804585453</v>
      </c>
      <c r="E49" s="30">
        <f t="shared" si="2"/>
        <v>-1.4839709332218343E-3</v>
      </c>
    </row>
    <row r="50" spans="2:5" x14ac:dyDescent="0.35">
      <c r="B50" s="46" t="s">
        <v>91</v>
      </c>
      <c r="C50" s="29">
        <f>IFERROR(COUNTIFS(d_nbhd,$C$39,d_stl,"&gt;1")/COUNTIFS(d_nbhd,$C$39),"")</f>
        <v>0.13793103448275862</v>
      </c>
      <c r="D50" s="29">
        <f>COUNTIF(d_stl,"&gt;1")/COUNT(d_stl)</f>
        <v>0.192</v>
      </c>
      <c r="E50" s="30">
        <f t="shared" si="2"/>
        <v>-5.4068965517241385E-2</v>
      </c>
    </row>
  </sheetData>
  <mergeCells count="27">
    <mergeCell ref="B28:M28"/>
    <mergeCell ref="B38:M38"/>
    <mergeCell ref="C39:D39"/>
    <mergeCell ref="I10:M12"/>
    <mergeCell ref="I13:M15"/>
    <mergeCell ref="I16:M18"/>
    <mergeCell ref="I19:M21"/>
    <mergeCell ref="I22:M24"/>
    <mergeCell ref="B7:D7"/>
    <mergeCell ref="E7:G7"/>
    <mergeCell ref="H7:J7"/>
    <mergeCell ref="K7:M7"/>
    <mergeCell ref="B9:G9"/>
    <mergeCell ref="I9:M9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C3:D3"/>
    <mergeCell ref="E3:F3"/>
    <mergeCell ref="G3:M3"/>
  </mergeCells>
  <conditionalFormatting sqref="E30:E34">
    <cfRule type="dataBar" priority="4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{B0ECE363-F936-42F2-BD30-7030793B70B2}</x14:id>
        </ext>
      </extLst>
    </cfRule>
  </conditionalFormatting>
  <conditionalFormatting sqref="E43:E44">
    <cfRule type="cellIs" dxfId="3" priority="5" operator="greaterThan">
      <formula>0</formula>
    </cfRule>
    <cfRule type="cellIs" dxfId="2" priority="6" operator="lessThan">
      <formula>0</formula>
    </cfRule>
  </conditionalFormatting>
  <conditionalFormatting sqref="H30:H34">
    <cfRule type="cellIs" dxfId="1" priority="2" operator="greaterThan">
      <formula>0</formula>
    </cfRule>
    <cfRule type="cellIs" dxfId="0" priority="3" operator="lessThan">
      <formula>0</formula>
    </cfRule>
  </conditionalFormatting>
  <dataValidations count="1">
    <dataValidation type="list" sqref="C39" xr:uid="{00000000-0002-0000-0200-000000000000}">
      <formula1>"Cedar Park,Downtown,Maple Heights,Oak Hill,Riverside"</formula1>
      <formula2>0</formula2>
    </dataValidation>
  </dataValidations>
  <hyperlinks>
    <hyperlink ref="B3" location="'Dashboard'!A1" display="◂ Back to Dashboard" xr:uid="{00000000-0004-0000-0200-000000000000}"/>
    <hyperlink ref="C3" location="'D1_Trend'!A1" display="◂ Previous graph" xr:uid="{00000000-0004-0000-0200-000001000000}"/>
    <hyperlink ref="E3" location="'D3_Speed_Negotiation'!A1" display="Next graph ▸" xr:uid="{00000000-0004-0000-0200-000002000000}"/>
  </hyperlink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0ECE363-F936-42F2-BD30-7030793B70B2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E30:E34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E9A23B"/>
    <pageSetUpPr fitToPage="1"/>
  </sheetPr>
  <dimension ref="B1:M41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1" customWidth="1"/>
    <col min="3" max="13" width="13" customWidth="1"/>
    <col min="14" max="14" width="2" customWidth="1"/>
  </cols>
  <sheetData>
    <row r="1" spans="2:13" ht="33.75" customHeight="1" x14ac:dyDescent="0.35">
      <c r="B1" s="112" t="s">
        <v>92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2:13" ht="18" customHeight="1" x14ac:dyDescent="0.35">
      <c r="B2" s="12" t="s">
        <v>93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21.75" customHeight="1" x14ac:dyDescent="0.35">
      <c r="B3" s="22" t="s">
        <v>36</v>
      </c>
      <c r="C3" s="111" t="s">
        <v>37</v>
      </c>
      <c r="D3" s="111"/>
      <c r="E3" s="111" t="s">
        <v>38</v>
      </c>
      <c r="F3" s="111"/>
      <c r="G3" s="113" t="s">
        <v>94</v>
      </c>
      <c r="H3" s="113"/>
      <c r="I3" s="113"/>
      <c r="J3" s="113"/>
      <c r="K3" s="113"/>
      <c r="L3" s="113"/>
      <c r="M3" s="113"/>
    </row>
    <row r="4" spans="2:13" ht="7.5" customHeight="1" x14ac:dyDescent="0.35"/>
    <row r="5" spans="2:13" ht="15.75" customHeight="1" x14ac:dyDescent="0.35">
      <c r="B5" s="9" t="s">
        <v>95</v>
      </c>
      <c r="C5" s="9"/>
      <c r="D5" s="9"/>
      <c r="E5" s="9" t="s">
        <v>96</v>
      </c>
      <c r="F5" s="9"/>
      <c r="G5" s="9"/>
      <c r="H5" s="9" t="s">
        <v>97</v>
      </c>
      <c r="I5" s="9"/>
      <c r="J5" s="9"/>
      <c r="K5" s="9" t="s">
        <v>98</v>
      </c>
      <c r="L5" s="9"/>
      <c r="M5" s="9"/>
    </row>
    <row r="6" spans="2:13" ht="30" customHeight="1" x14ac:dyDescent="0.35">
      <c r="B6" s="120" t="str">
        <f>INDEX($B$30:$B$34,MATCH(MIN($D$30:$D$34),$D$30:$D$34,0))</f>
        <v>Downtown</v>
      </c>
      <c r="C6" s="120"/>
      <c r="D6" s="120"/>
      <c r="E6" s="120" t="str">
        <f>INDEX($B$30:$B$34,MATCH(MAX($D$30:$D$34),$D$30:$D$34,0))</f>
        <v>Cedar Park</v>
      </c>
      <c r="F6" s="120"/>
      <c r="G6" s="120"/>
      <c r="H6" s="124">
        <f>F35</f>
        <v>0.97491350804585453</v>
      </c>
      <c r="I6" s="124"/>
      <c r="J6" s="124"/>
      <c r="K6" s="124">
        <f>G35</f>
        <v>0.192</v>
      </c>
      <c r="L6" s="124"/>
      <c r="M6" s="124"/>
    </row>
    <row r="7" spans="2:13" ht="15.75" customHeight="1" x14ac:dyDescent="0.35">
      <c r="B7" s="3" t="str">
        <f>TEXT(MIN($D$30:$D$34),"0.0")&amp;" days on market"</f>
        <v>52.8 days on market</v>
      </c>
      <c r="C7" s="3"/>
      <c r="D7" s="3"/>
      <c r="E7" s="3" t="str">
        <f>TEXT(MAX($D$30:$D$34),"0.0")&amp;" days on market"</f>
        <v>67.6 days on market</v>
      </c>
      <c r="F7" s="3"/>
      <c r="G7" s="3"/>
      <c r="H7" s="3" t="str">
        <f>"Median DOM "&amp;TEXT(E35,"0")&amp;" days"</f>
        <v>Median DOM 53 days</v>
      </c>
      <c r="I7" s="3"/>
      <c r="J7" s="3"/>
      <c r="K7" s="3" t="str">
        <f>TEXT(H35,"0%")&amp;" sold below"</f>
        <v>79% sold below</v>
      </c>
      <c r="L7" s="3"/>
      <c r="M7" s="3"/>
    </row>
    <row r="8" spans="2:13" ht="7.5" customHeight="1" x14ac:dyDescent="0.35"/>
    <row r="9" spans="2:13" x14ac:dyDescent="0.35">
      <c r="B9" s="117" t="s">
        <v>44</v>
      </c>
      <c r="C9" s="117"/>
      <c r="D9" s="117"/>
      <c r="E9" s="117"/>
      <c r="F9" s="117"/>
      <c r="G9" s="117"/>
      <c r="I9" s="117" t="s">
        <v>45</v>
      </c>
      <c r="J9" s="117"/>
      <c r="K9" s="117"/>
      <c r="L9" s="117"/>
      <c r="M9" s="117"/>
    </row>
    <row r="10" spans="2:13" x14ac:dyDescent="0.35">
      <c r="I10" s="118" t="str">
        <f>"Fastest: "&amp;INDEX($B$30:$B$34,MATCH(MIN($D$30:$D$34),$D$30:$D$34,0))&amp;" ("&amp;TEXT(MIN($D$30:$D$34),"0.0")&amp;" days); slowest: "&amp;INDEX($B$30:$B$34,MATCH(MAX($D$30:$D$34),$D$30:$D$34,0))&amp;" ("&amp;TEXT(MAX($D$30:$D$34),"0.0")&amp;" days) — a "&amp;TEXT(MAX($D$30:$D$34)-MIN($D$30:$D$34),"0")&amp;"-day difference."</f>
        <v>Fastest: Downtown (52.8 days); slowest: Cedar Park (67.6 days) — a 15-day difference.</v>
      </c>
      <c r="J10" s="118"/>
      <c r="K10" s="118"/>
      <c r="L10" s="118"/>
      <c r="M10" s="118"/>
    </row>
    <row r="11" spans="2:13" x14ac:dyDescent="0.35">
      <c r="I11" s="118"/>
      <c r="J11" s="118"/>
      <c r="K11" s="118"/>
      <c r="L11" s="118"/>
      <c r="M11" s="118"/>
    </row>
    <row r="12" spans="2:13" x14ac:dyDescent="0.35">
      <c r="I12" s="118"/>
      <c r="J12" s="118"/>
      <c r="K12" s="118"/>
      <c r="L12" s="118"/>
      <c r="M12" s="118"/>
    </row>
    <row r="13" spans="2:13" x14ac:dyDescent="0.35">
      <c r="I13" s="119" t="str">
        <f>"Sale-to-list runs from "&amp;TEXT(MIN($F$30:$F$34),"0.0%")&amp;" ("&amp;INDEX($B$30:$B$34,MATCH(MIN($F$30:$F$34),$F$30:$F$34,0))&amp;") to "&amp;TEXT(MAX($F$30:$F$34),"0.0%")&amp;" ("&amp;INDEX($B$30:$B$34,MATCH(MAX($F$30:$F$34),$F$30:$F$34,0))&amp;") — a "&amp;TEXT((MAX($F$30:$F$34)-MIN($F$30:$F$34))*100,"0.0")&amp;"-point spread."</f>
        <v>Sale-to-list runs from 97.1% (Maple Heights) to 97.7% (Downtown) — a 0.6-point spread.</v>
      </c>
      <c r="J13" s="119"/>
      <c r="K13" s="119"/>
      <c r="L13" s="119"/>
      <c r="M13" s="119"/>
    </row>
    <row r="14" spans="2:13" x14ac:dyDescent="0.35">
      <c r="I14" s="119"/>
      <c r="J14" s="119"/>
      <c r="K14" s="119"/>
      <c r="L14" s="119"/>
      <c r="M14" s="119"/>
    </row>
    <row r="15" spans="2:13" x14ac:dyDescent="0.35">
      <c r="I15" s="119"/>
      <c r="J15" s="119"/>
      <c r="K15" s="119"/>
      <c r="L15" s="119"/>
      <c r="M15" s="119"/>
    </row>
    <row r="16" spans="2:13" x14ac:dyDescent="0.35">
      <c r="I16" s="118" t="str">
        <f>"Most above-asking sales: "&amp;INDEX($B$30:$B$34,MATCH(MAX($G$30:$G$34),$G$30:$G$34,0))&amp;" ("&amp;TEXT(MAX($G$30:$G$34),"0%")&amp;" of its sales closed over list)."</f>
        <v>Most above-asking sales: Riverside (26% of its sales closed over list).</v>
      </c>
      <c r="J16" s="118"/>
      <c r="K16" s="118"/>
      <c r="L16" s="118"/>
      <c r="M16" s="118"/>
    </row>
    <row r="17" spans="2:13" x14ac:dyDescent="0.35">
      <c r="I17" s="118"/>
      <c r="J17" s="118"/>
      <c r="K17" s="118"/>
      <c r="L17" s="118"/>
      <c r="M17" s="118"/>
    </row>
    <row r="18" spans="2:13" x14ac:dyDescent="0.35">
      <c r="I18" s="118"/>
      <c r="J18" s="118"/>
      <c r="K18" s="118"/>
      <c r="L18" s="118"/>
      <c r="M18" s="118"/>
    </row>
    <row r="19" spans="2:13" x14ac:dyDescent="0.35">
      <c r="I19" s="119" t="str">
        <f>"Market median time on market is "&amp;TEXT(E35,"0")&amp;" days vs a mean of "&amp;TEXT(D35,"0.0")&amp;IF(D35&gt;E35," — a few very slow listings pull the mean up.",".")</f>
        <v>Market median time on market is 53 days vs a mean of 57.4 — a few very slow listings pull the mean up.</v>
      </c>
      <c r="J19" s="119"/>
      <c r="K19" s="119"/>
      <c r="L19" s="119"/>
      <c r="M19" s="119"/>
    </row>
    <row r="20" spans="2:13" x14ac:dyDescent="0.35">
      <c r="I20" s="119"/>
      <c r="J20" s="119"/>
      <c r="K20" s="119"/>
      <c r="L20" s="119"/>
      <c r="M20" s="119"/>
    </row>
    <row r="21" spans="2:13" x14ac:dyDescent="0.35">
      <c r="I21" s="119"/>
      <c r="J21" s="119"/>
      <c r="K21" s="119"/>
      <c r="L21" s="119"/>
      <c r="M21" s="119"/>
    </row>
    <row r="22" spans="2:13" x14ac:dyDescent="0.35">
      <c r="I22" s="118" t="str">
        <f>"When homes sell below list, the average discount is "&amp;TEXT(-Analysis!B64,"$#,##0")&amp;"."</f>
        <v>When homes sell below list, the average discount is $14,782.</v>
      </c>
      <c r="J22" s="118"/>
      <c r="K22" s="118"/>
      <c r="L22" s="118"/>
      <c r="M22" s="118"/>
    </row>
    <row r="23" spans="2:13" x14ac:dyDescent="0.35">
      <c r="I23" s="118"/>
      <c r="J23" s="118"/>
      <c r="K23" s="118"/>
      <c r="L23" s="118"/>
      <c r="M23" s="118"/>
    </row>
    <row r="24" spans="2:13" x14ac:dyDescent="0.35">
      <c r="I24" s="118"/>
      <c r="J24" s="118"/>
      <c r="K24" s="118"/>
      <c r="L24" s="118"/>
      <c r="M24" s="118"/>
    </row>
    <row r="28" spans="2:13" x14ac:dyDescent="0.35">
      <c r="B28" s="117" t="s">
        <v>46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</row>
    <row r="29" spans="2:13" ht="30" customHeight="1" x14ac:dyDescent="0.35">
      <c r="B29" s="23" t="s">
        <v>25</v>
      </c>
      <c r="C29" s="24" t="s">
        <v>48</v>
      </c>
      <c r="D29" s="24" t="s">
        <v>99</v>
      </c>
      <c r="E29" s="24" t="s">
        <v>100</v>
      </c>
      <c r="F29" s="24" t="s">
        <v>53</v>
      </c>
      <c r="G29" s="24" t="s">
        <v>101</v>
      </c>
      <c r="H29" s="24" t="s">
        <v>102</v>
      </c>
      <c r="I29" s="24" t="s">
        <v>103</v>
      </c>
      <c r="J29" s="24" t="s">
        <v>104</v>
      </c>
    </row>
    <row r="30" spans="2:13" x14ac:dyDescent="0.35">
      <c r="B30" s="39" t="s">
        <v>72</v>
      </c>
      <c r="C30" s="26">
        <f>COUNTIFS(d_nbhd,$B30)</f>
        <v>39</v>
      </c>
      <c r="D30" s="28">
        <f>IFERROR(AVERAGEIFS(d_dom,d_nbhd,$B30),"")</f>
        <v>67.578947368421055</v>
      </c>
      <c r="E30" s="26">
        <f t="array" ref="E30">IFERROR(MEDIAN(IF((d_nbhd=$B30)*(d_dom&lt;&gt;""),d_dom)),"")</f>
        <v>59.5</v>
      </c>
      <c r="F30" s="29">
        <f>IFERROR(AVERAGEIFS(d_stl,d_nbhd,$B30),"")</f>
        <v>0.97450340946562075</v>
      </c>
      <c r="G30" s="29">
        <f>IFERROR(COUNTIFS(d_nbhd,$B30,d_stl,"&gt;1")/COUNTIFS(d_nbhd,$B30),"")</f>
        <v>0.15384615384615385</v>
      </c>
      <c r="H30" s="29">
        <f>IFERROR(COUNTIFS(d_nbhd,$B30,d_stl,"&lt;1")/COUNTIFS(d_nbhd,$B30),"")</f>
        <v>0.79487179487179482</v>
      </c>
      <c r="I30" s="31">
        <f>IFERROR(AVERAGEIFS(d_diff,d_nbhd,$B30),"")</f>
        <v>-7512.8205128205127</v>
      </c>
      <c r="J30" s="50">
        <f>IFERROR(AVERAGEIFS(d_comm,d_nbhd,$B30),"")</f>
        <v>2.9064864864864863</v>
      </c>
    </row>
    <row r="31" spans="2:13" x14ac:dyDescent="0.35">
      <c r="B31" s="39" t="s">
        <v>73</v>
      </c>
      <c r="C31" s="26">
        <f>COUNTIFS(d_nbhd,$B31)</f>
        <v>36</v>
      </c>
      <c r="D31" s="28">
        <f>IFERROR(AVERAGEIFS(d_dom,d_nbhd,$B31),"")</f>
        <v>52.777777777777779</v>
      </c>
      <c r="E31" s="26">
        <f t="array" ref="E31">IFERROR(MEDIAN(IF((d_nbhd=$B31)*(d_dom&lt;&gt;""),d_dom)),"")</f>
        <v>49</v>
      </c>
      <c r="F31" s="29">
        <f>IFERROR(AVERAGEIFS(d_stl,d_nbhd,$B31),"")</f>
        <v>0.97717766473621637</v>
      </c>
      <c r="G31" s="29">
        <f>IFERROR(COUNTIFS(d_nbhd,$B31,d_stl,"&gt;1")/COUNTIFS(d_nbhd,$B31),"")</f>
        <v>0.19444444444444445</v>
      </c>
      <c r="H31" s="29">
        <f>IFERROR(COUNTIFS(d_nbhd,$B31,d_stl,"&lt;1")/COUNTIFS(d_nbhd,$B31),"")</f>
        <v>0.80555555555555558</v>
      </c>
      <c r="I31" s="31">
        <f>IFERROR(AVERAGEIFS(d_diff,d_nbhd,$B31),"")</f>
        <v>-10805.555555555555</v>
      </c>
      <c r="J31" s="50">
        <f>IFERROR(AVERAGEIFS(d_comm,d_nbhd,$B31),"")</f>
        <v>2.878571428571429</v>
      </c>
    </row>
    <row r="32" spans="2:13" x14ac:dyDescent="0.35">
      <c r="B32" s="39" t="s">
        <v>74</v>
      </c>
      <c r="C32" s="26">
        <f>COUNTIFS(d_nbhd,$B32)</f>
        <v>51</v>
      </c>
      <c r="D32" s="28">
        <f>IFERROR(AVERAGEIFS(d_dom,d_nbhd,$B32),"")</f>
        <v>54.170212765957444</v>
      </c>
      <c r="E32" s="26">
        <f t="array" ref="E32">IFERROR(MEDIAN(IF((d_nbhd=$B32)*(d_dom&lt;&gt;""),d_dom)),"")</f>
        <v>52</v>
      </c>
      <c r="F32" s="29">
        <f>IFERROR(AVERAGEIFS(d_stl,d_nbhd,$B32),"")</f>
        <v>0.97104751458188432</v>
      </c>
      <c r="G32" s="29">
        <f>IFERROR(COUNTIFS(d_nbhd,$B32,d_stl,"&gt;1")/COUNTIFS(d_nbhd,$B32),"")</f>
        <v>0.19607843137254902</v>
      </c>
      <c r="H32" s="29">
        <f>IFERROR(COUNTIFS(d_nbhd,$B32,d_stl,"&lt;1")/COUNTIFS(d_nbhd,$B32),"")</f>
        <v>0.78431372549019607</v>
      </c>
      <c r="I32" s="31">
        <f>IFERROR(AVERAGEIFS(d_diff,d_nbhd,$B32),"")</f>
        <v>-9921.5686274509808</v>
      </c>
      <c r="J32" s="50">
        <f>IFERROR(AVERAGEIFS(d_comm,d_nbhd,$B32),"")</f>
        <v>2.9588636363636351</v>
      </c>
    </row>
    <row r="33" spans="2:10" x14ac:dyDescent="0.35">
      <c r="B33" s="39" t="s">
        <v>75</v>
      </c>
      <c r="C33" s="26">
        <f>COUNTIFS(d_nbhd,$B33)</f>
        <v>58</v>
      </c>
      <c r="D33" s="28">
        <f>IFERROR(AVERAGEIFS(d_dom,d_nbhd,$B33),"")</f>
        <v>58.142857142857146</v>
      </c>
      <c r="E33" s="26">
        <f t="array" ref="E33">IFERROR(MEDIAN(IF((d_nbhd=$B33)*(d_dom&lt;&gt;""),d_dom)),"")</f>
        <v>57</v>
      </c>
      <c r="F33" s="29">
        <f>IFERROR(AVERAGEIFS(d_stl,d_nbhd,$B33),"")</f>
        <v>0.97342953711263269</v>
      </c>
      <c r="G33" s="29">
        <f>IFERROR(COUNTIFS(d_nbhd,$B33,d_stl,"&gt;1")/COUNTIFS(d_nbhd,$B33),"")</f>
        <v>0.13793103448275862</v>
      </c>
      <c r="H33" s="29">
        <f>IFERROR(COUNTIFS(d_nbhd,$B33,d_stl,"&lt;1")/COUNTIFS(d_nbhd,$B33),"")</f>
        <v>0.84482758620689657</v>
      </c>
      <c r="I33" s="31">
        <f>IFERROR(AVERAGEIFS(d_diff,d_nbhd,$B33),"")</f>
        <v>-14172.413793103447</v>
      </c>
      <c r="J33" s="50">
        <f>IFERROR(AVERAGEIFS(d_comm,d_nbhd,$B33),"")</f>
        <v>2.9075438596491217</v>
      </c>
    </row>
    <row r="34" spans="2:10" x14ac:dyDescent="0.35">
      <c r="B34" s="39" t="s">
        <v>76</v>
      </c>
      <c r="C34" s="26">
        <f>COUNTIFS(d_nbhd,$B34)</f>
        <v>62</v>
      </c>
      <c r="D34" s="28">
        <f>IFERROR(AVERAGEIFS(d_dom,d_nbhd,$B34),"")</f>
        <v>54.770491803278688</v>
      </c>
      <c r="E34" s="26">
        <f t="array" ref="E34">IFERROR(MEDIAN(IF((d_nbhd=$B34)*(d_dom&lt;&gt;""),d_dom)),"")</f>
        <v>48</v>
      </c>
      <c r="F34" s="29">
        <f>IFERROR(AVERAGEIFS(d_stl,d_nbhd,$B34),"")</f>
        <v>0.9769099765186402</v>
      </c>
      <c r="G34" s="29">
        <f>IFERROR(COUNTIFS(d_nbhd,$B34,d_stl,"&gt;1")/COUNTIFS(d_nbhd,$B34),"")</f>
        <v>0.25806451612903225</v>
      </c>
      <c r="H34" s="29">
        <f>IFERROR(COUNTIFS(d_nbhd,$B34,d_stl,"&lt;1")/COUNTIFS(d_nbhd,$B34),"")</f>
        <v>0.74193548387096775</v>
      </c>
      <c r="I34" s="31">
        <f>IFERROR(AVERAGEIFS(d_diff,d_nbhd,$B34),"")</f>
        <v>-8451.6129032258068</v>
      </c>
      <c r="J34" s="50">
        <f>IFERROR(AVERAGEIFS(d_comm,d_nbhd,$B34),"")</f>
        <v>2.9426315789473692</v>
      </c>
    </row>
    <row r="35" spans="2:10" x14ac:dyDescent="0.35">
      <c r="B35" s="41" t="s">
        <v>77</v>
      </c>
      <c r="C35" s="33">
        <f>COUNT(d_price)</f>
        <v>250</v>
      </c>
      <c r="D35" s="35">
        <f>AVERAGE(d_dom)</f>
        <v>57.371900826446279</v>
      </c>
      <c r="E35" s="33">
        <f>MEDIAN(d_dom)</f>
        <v>53</v>
      </c>
      <c r="F35" s="36">
        <f>AVERAGE(d_stl)</f>
        <v>0.97491350804585453</v>
      </c>
      <c r="G35" s="36">
        <f>COUNTIF(d_stl,"&gt;1")/COUNT(d_stl)</f>
        <v>0.192</v>
      </c>
      <c r="H35" s="36">
        <f>COUNTIF(d_stl,"&lt;1")/COUNT(d_stl)</f>
        <v>0.78800000000000003</v>
      </c>
      <c r="I35" s="42">
        <f>AVERAGE(d_diff)</f>
        <v>-10156</v>
      </c>
      <c r="J35" s="53">
        <f>AVERAGE(d_comm)</f>
        <v>2.9224892703862664</v>
      </c>
    </row>
    <row r="37" spans="2:10" ht="30" customHeight="1" x14ac:dyDescent="0.35">
      <c r="B37" s="23" t="s">
        <v>105</v>
      </c>
      <c r="C37" s="24" t="s">
        <v>48</v>
      </c>
      <c r="D37" s="24" t="s">
        <v>106</v>
      </c>
      <c r="E37" s="24" t="s">
        <v>50</v>
      </c>
    </row>
    <row r="38" spans="2:10" x14ac:dyDescent="0.35">
      <c r="B38" s="46" t="str">
        <f>Analysis!A67</f>
        <v>Fast (≤ 40 days)</v>
      </c>
      <c r="C38" s="26">
        <f>Analysis!D67</f>
        <v>56</v>
      </c>
      <c r="D38" s="29">
        <f>Analysis!E67</f>
        <v>0.977554753516233</v>
      </c>
      <c r="E38" s="27">
        <f>Analysis!F67</f>
        <v>385857.14285714284</v>
      </c>
    </row>
    <row r="39" spans="2:10" x14ac:dyDescent="0.35">
      <c r="B39" s="46" t="str">
        <f>Analysis!A68</f>
        <v>Normal (41-60)</v>
      </c>
      <c r="C39" s="26">
        <f>Analysis!D68</f>
        <v>97</v>
      </c>
      <c r="D39" s="29">
        <f>Analysis!E68</f>
        <v>0.97814724100386696</v>
      </c>
      <c r="E39" s="27">
        <f>Analysis!F68</f>
        <v>386391.75257731957</v>
      </c>
    </row>
    <row r="40" spans="2:10" x14ac:dyDescent="0.35">
      <c r="B40" s="46" t="str">
        <f>Analysis!A69</f>
        <v>Slow (61-90)</v>
      </c>
      <c r="C40" s="26">
        <f>Analysis!D69</f>
        <v>69</v>
      </c>
      <c r="D40" s="29">
        <f>Analysis!E69</f>
        <v>0.96946970724600634</v>
      </c>
      <c r="E40" s="27">
        <f>Analysis!F69</f>
        <v>408434.78260869568</v>
      </c>
    </row>
    <row r="41" spans="2:10" x14ac:dyDescent="0.35">
      <c r="B41" s="46" t="str">
        <f>Analysis!A70</f>
        <v>Very slow (&gt; 90)</v>
      </c>
      <c r="C41" s="26">
        <f>Analysis!D70</f>
        <v>20</v>
      </c>
      <c r="D41" s="29">
        <f>Analysis!E70</f>
        <v>0.9727120392237929</v>
      </c>
      <c r="E41" s="27">
        <f>Analysis!F70</f>
        <v>381800</v>
      </c>
    </row>
  </sheetData>
  <mergeCells count="25">
    <mergeCell ref="B28:M28"/>
    <mergeCell ref="I10:M12"/>
    <mergeCell ref="I13:M15"/>
    <mergeCell ref="I16:M18"/>
    <mergeCell ref="I19:M21"/>
    <mergeCell ref="I22:M24"/>
    <mergeCell ref="B7:D7"/>
    <mergeCell ref="E7:G7"/>
    <mergeCell ref="H7:J7"/>
    <mergeCell ref="K7:M7"/>
    <mergeCell ref="B9:G9"/>
    <mergeCell ref="I9:M9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C3:D3"/>
    <mergeCell ref="E3:F3"/>
    <mergeCell ref="G3:M3"/>
  </mergeCells>
  <conditionalFormatting sqref="D30:D34">
    <cfRule type="colorScale" priority="2">
      <colorScale>
        <cfvo type="min"/>
        <cfvo type="max"/>
        <color rgb="FFC9E7D8"/>
        <color rgb="FFF6C7BD"/>
      </colorScale>
    </cfRule>
  </conditionalFormatting>
  <conditionalFormatting sqref="F30:F34">
    <cfRule type="colorScale" priority="3">
      <colorScale>
        <cfvo type="min"/>
        <cfvo type="max"/>
        <color rgb="FFF6C7BD"/>
        <color rgb="FFC9E7D8"/>
      </colorScale>
    </cfRule>
  </conditionalFormatting>
  <hyperlinks>
    <hyperlink ref="B3" location="'Dashboard'!A1" display="◂ Back to Dashboard" xr:uid="{00000000-0004-0000-0300-000000000000}"/>
    <hyperlink ref="C3" location="'D2_Neighborhood'!A1" display="◂ Previous graph" xr:uid="{00000000-0004-0000-0300-000001000000}"/>
    <hyperlink ref="E3" location="'D4_Property_Type'!A1" display="Next graph ▸" xr:uid="{00000000-0004-0000-0300-000002000000}"/>
  </hyperlink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9A23B"/>
    <pageSetUpPr fitToPage="1"/>
  </sheetPr>
  <dimension ref="B1:M44"/>
  <sheetViews>
    <sheetView showGridLines="0" zoomScaleNormal="100" workbookViewId="0">
      <selection activeCell="H18" sqref="H18"/>
    </sheetView>
  </sheetViews>
  <sheetFormatPr defaultColWidth="8.6328125" defaultRowHeight="14.5" x14ac:dyDescent="0.35"/>
  <cols>
    <col min="1" max="1" width="2" customWidth="1"/>
    <col min="2" max="2" width="21" customWidth="1"/>
    <col min="3" max="13" width="13" customWidth="1"/>
    <col min="14" max="14" width="2" customWidth="1"/>
  </cols>
  <sheetData>
    <row r="1" spans="2:13" ht="33.75" customHeight="1" x14ac:dyDescent="0.35">
      <c r="B1" s="112" t="s">
        <v>107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2:13" ht="18" customHeight="1" x14ac:dyDescent="0.35">
      <c r="B2" s="12" t="s">
        <v>108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21.75" customHeight="1" x14ac:dyDescent="0.35">
      <c r="B3" s="22" t="s">
        <v>36</v>
      </c>
      <c r="C3" s="111" t="s">
        <v>37</v>
      </c>
      <c r="D3" s="111"/>
      <c r="E3" s="111" t="s">
        <v>38</v>
      </c>
      <c r="F3" s="111"/>
      <c r="G3" s="113" t="s">
        <v>109</v>
      </c>
      <c r="H3" s="113"/>
      <c r="I3" s="113"/>
      <c r="J3" s="113"/>
      <c r="K3" s="113"/>
      <c r="L3" s="113"/>
      <c r="M3" s="113"/>
    </row>
    <row r="4" spans="2:13" ht="7.5" customHeight="1" x14ac:dyDescent="0.35"/>
    <row r="5" spans="2:13" ht="15.75" customHeight="1" x14ac:dyDescent="0.35">
      <c r="B5" s="9" t="s">
        <v>110</v>
      </c>
      <c r="C5" s="9"/>
      <c r="D5" s="9"/>
      <c r="E5" s="9" t="s">
        <v>111</v>
      </c>
      <c r="F5" s="9"/>
      <c r="G5" s="9"/>
      <c r="H5" s="9" t="s">
        <v>112</v>
      </c>
      <c r="I5" s="9"/>
      <c r="J5" s="9"/>
      <c r="K5" s="9" t="s">
        <v>113</v>
      </c>
      <c r="L5" s="9"/>
      <c r="M5" s="9"/>
    </row>
    <row r="6" spans="2:13" ht="30" customHeight="1" x14ac:dyDescent="0.35">
      <c r="B6" s="120" t="str">
        <f>INDEX($B$30:$B$32,MATCH(MAX($C$30:$C$32),$C$30:$C$32,0))</f>
        <v>Single Family</v>
      </c>
      <c r="C6" s="120"/>
      <c r="D6" s="120"/>
      <c r="E6" s="125">
        <f>E31/E30-1</f>
        <v>0.68639566716009326</v>
      </c>
      <c r="F6" s="125"/>
      <c r="G6" s="125"/>
      <c r="H6" s="120" t="str">
        <f>INDEX($B$30:$B$32,MATCH(MAX($G$30:$G$32),$G$30:$G$32,0))</f>
        <v>Condo</v>
      </c>
      <c r="I6" s="120"/>
      <c r="J6" s="120"/>
      <c r="K6" s="122">
        <f>F33</f>
        <v>366000</v>
      </c>
      <c r="L6" s="122"/>
      <c r="M6" s="122"/>
    </row>
    <row r="7" spans="2:13" ht="15.75" customHeight="1" x14ac:dyDescent="0.35">
      <c r="B7" s="3" t="str">
        <f>TEXT(MAX($D$30:$D$32),"0%")&amp;" of all sales"</f>
        <v>58% of all sales</v>
      </c>
      <c r="C7" s="3"/>
      <c r="D7" s="3"/>
      <c r="E7" s="3" t="str">
        <f>"average price premium"</f>
        <v>average price premium</v>
      </c>
      <c r="F7" s="3"/>
      <c r="G7" s="3"/>
      <c r="H7" s="3" t="str">
        <f>TEXT(MAX($G$30:$G$32),"$#,##0")&amp;" per sq ft"</f>
        <v>$236 per sq ft</v>
      </c>
      <c r="I7" s="3"/>
      <c r="J7" s="3"/>
      <c r="K7" s="3" t="str">
        <f>"Avg "&amp;TEXT(E33,"$#,##0")</f>
        <v>Avg $3,90,400</v>
      </c>
      <c r="L7" s="3"/>
      <c r="M7" s="3"/>
    </row>
    <row r="8" spans="2:13" ht="7.5" customHeight="1" x14ac:dyDescent="0.35"/>
    <row r="9" spans="2:13" x14ac:dyDescent="0.35">
      <c r="B9" s="117" t="s">
        <v>44</v>
      </c>
      <c r="C9" s="117"/>
      <c r="D9" s="117"/>
      <c r="E9" s="117"/>
      <c r="F9" s="117"/>
      <c r="G9" s="117"/>
      <c r="I9" s="117" t="s">
        <v>45</v>
      </c>
      <c r="J9" s="117"/>
      <c r="K9" s="117"/>
      <c r="L9" s="117"/>
      <c r="M9" s="117"/>
    </row>
    <row r="10" spans="2:13" x14ac:dyDescent="0.35">
      <c r="I10" s="118" t="str">
        <f>"Largest segment: "&amp;INDEX($B$30:$B$32,MATCH(MAX($C$30:$C$32),$C$30:$C$32,0))&amp;" — "&amp;TEXT(MAX($D$30:$D$32),"0%")&amp;" of sales ("&amp;MAX($C$30:$C$32)&amp;" homes)."</f>
        <v>Largest segment: Single Family — 58% of sales (146 homes).</v>
      </c>
      <c r="J10" s="118"/>
      <c r="K10" s="118"/>
      <c r="L10" s="118"/>
      <c r="M10" s="118"/>
    </row>
    <row r="11" spans="2:13" x14ac:dyDescent="0.35">
      <c r="I11" s="118"/>
      <c r="J11" s="118"/>
      <c r="K11" s="118"/>
      <c r="L11" s="118"/>
      <c r="M11" s="118"/>
    </row>
    <row r="12" spans="2:13" x14ac:dyDescent="0.35">
      <c r="I12" s="118"/>
      <c r="J12" s="118"/>
      <c r="K12" s="118"/>
      <c r="L12" s="118"/>
      <c r="M12" s="118"/>
    </row>
    <row r="13" spans="2:13" x14ac:dyDescent="0.35">
      <c r="I13" s="119" t="str">
        <f>"Single Family averages "&amp;TEXT(E31,"$#,##0")&amp;", "&amp;TEXT(E31/E30-1,"0%")&amp;" above condos ("&amp;TEXT(E30,"$#,##0")&amp;"); townhouses sit at "&amp;TEXT(E32,"$#,##0")&amp;"."</f>
        <v>Single Family averages $4,52,575, 69% above condos ($2,68,368); townhouses sit at $3,45,255.</v>
      </c>
      <c r="J13" s="119"/>
      <c r="K13" s="119"/>
      <c r="L13" s="119"/>
      <c r="M13" s="119"/>
    </row>
    <row r="14" spans="2:13" x14ac:dyDescent="0.35">
      <c r="I14" s="119"/>
      <c r="J14" s="119"/>
      <c r="K14" s="119"/>
      <c r="L14" s="119"/>
      <c r="M14" s="119"/>
    </row>
    <row r="15" spans="2:13" x14ac:dyDescent="0.35">
      <c r="I15" s="119"/>
      <c r="J15" s="119"/>
      <c r="K15" s="119"/>
      <c r="L15" s="119"/>
      <c r="M15" s="119"/>
    </row>
    <row r="16" spans="2:13" x14ac:dyDescent="0.35">
      <c r="I16" s="118" t="str">
        <f>"Part of that gap is space: Single Family homes average "&amp;TEXT(H31,"#,##0")&amp;" sq ft vs "&amp;TEXT(H30,"#,##0")&amp;" for condos. Per sq ft, "&amp;INDEX($B$30:$B$32,MATCH(MAX($G$30:$G$32),$G$30:$G$32,0))&amp;" leads ("&amp;TEXT(MAX($G$30:$G$32),"$#,##0")&amp;")."</f>
        <v>Part of that gap is space: Single Family homes average 1,981 sq ft vs 1,158 for condos. Per sq ft, Condo leads ($236).</v>
      </c>
      <c r="J16" s="118"/>
      <c r="K16" s="118"/>
      <c r="L16" s="118"/>
      <c r="M16" s="118"/>
    </row>
    <row r="17" spans="2:13" x14ac:dyDescent="0.35">
      <c r="I17" s="118"/>
      <c r="J17" s="118"/>
      <c r="K17" s="118"/>
      <c r="L17" s="118"/>
      <c r="M17" s="118"/>
    </row>
    <row r="18" spans="2:13" x14ac:dyDescent="0.35">
      <c r="I18" s="118"/>
      <c r="J18" s="118"/>
      <c r="K18" s="118"/>
      <c r="L18" s="118"/>
      <c r="M18" s="118"/>
    </row>
    <row r="19" spans="2:13" x14ac:dyDescent="0.35">
      <c r="I19" s="119" t="str">
        <f>"Fastest to sell: "&amp;INDEX($B$30:$B$32,MATCH(MIN($J$30:$J$32),$J$30:$J$32,0))&amp;" ("&amp;TEXT(MIN($J$30:$J$32),"0.0")&amp;" days on market)."</f>
        <v>Fastest to sell: Townhouse (54.3 days on market).</v>
      </c>
      <c r="J19" s="119"/>
      <c r="K19" s="119"/>
      <c r="L19" s="119"/>
      <c r="M19" s="119"/>
    </row>
    <row r="20" spans="2:13" x14ac:dyDescent="0.35">
      <c r="I20" s="119"/>
      <c r="J20" s="119"/>
      <c r="K20" s="119"/>
      <c r="L20" s="119"/>
      <c r="M20" s="119"/>
    </row>
    <row r="21" spans="2:13" x14ac:dyDescent="0.35">
      <c r="I21" s="119"/>
      <c r="J21" s="119"/>
      <c r="K21" s="119"/>
      <c r="L21" s="119"/>
      <c r="M21" s="119"/>
    </row>
    <row r="22" spans="2:13" x14ac:dyDescent="0.35">
      <c r="I22" s="118" t="str">
        <f>"Highest sale-to-list: "&amp;INDEX($B$30:$B$32,MATCH(MAX($K$30:$K$32),$K$30:$K$32,0))&amp;" ("&amp;TEXT(MAX($K$30:$K$32),"0.0%")&amp;"); lowest: "&amp;INDEX($B$30:$B$32,MATCH(MIN($K$30:$K$32),$K$30:$K$32,0))&amp;" ("&amp;TEXT(MIN($K$30:$K$32),"0.0%")&amp;")."</f>
        <v>Highest sale-to-list: Townhouse (97.6%); lowest: Condo (97.3%).</v>
      </c>
      <c r="J22" s="118"/>
      <c r="K22" s="118"/>
      <c r="L22" s="118"/>
      <c r="M22" s="118"/>
    </row>
    <row r="23" spans="2:13" x14ac:dyDescent="0.35">
      <c r="I23" s="118"/>
      <c r="J23" s="118"/>
      <c r="K23" s="118"/>
      <c r="L23" s="118"/>
      <c r="M23" s="118"/>
    </row>
    <row r="24" spans="2:13" x14ac:dyDescent="0.35">
      <c r="I24" s="118"/>
      <c r="J24" s="118"/>
      <c r="K24" s="118"/>
      <c r="L24" s="118"/>
      <c r="M24" s="118"/>
    </row>
    <row r="28" spans="2:13" x14ac:dyDescent="0.35">
      <c r="B28" s="117" t="s">
        <v>46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</row>
    <row r="29" spans="2:13" ht="30" customHeight="1" x14ac:dyDescent="0.35">
      <c r="B29" s="23" t="s">
        <v>114</v>
      </c>
      <c r="C29" s="24" t="s">
        <v>48</v>
      </c>
      <c r="D29" s="24" t="s">
        <v>67</v>
      </c>
      <c r="E29" s="24" t="s">
        <v>50</v>
      </c>
      <c r="F29" s="24" t="s">
        <v>51</v>
      </c>
      <c r="G29" s="24" t="s">
        <v>69</v>
      </c>
      <c r="H29" s="24" t="s">
        <v>70</v>
      </c>
      <c r="I29" s="24" t="s">
        <v>115</v>
      </c>
      <c r="J29" s="24" t="s">
        <v>99</v>
      </c>
      <c r="K29" s="24" t="s">
        <v>53</v>
      </c>
      <c r="L29" s="24" t="s">
        <v>71</v>
      </c>
    </row>
    <row r="30" spans="2:13" x14ac:dyDescent="0.35">
      <c r="B30" s="39" t="s">
        <v>26</v>
      </c>
      <c r="C30" s="26">
        <f>COUNTIFS(d_type,$B30)</f>
        <v>57</v>
      </c>
      <c r="D30" s="29">
        <f>C30/C$33</f>
        <v>0.22800000000000001</v>
      </c>
      <c r="E30" s="27">
        <f>IFERROR(AVERAGEIFS(d_price,d_type,$B30),"")</f>
        <v>268368.42105263157</v>
      </c>
      <c r="F30" s="27">
        <f t="array" ref="F30">IFERROR(MEDIAN(IF(d_type=$B30,d_price)),"")</f>
        <v>263000</v>
      </c>
      <c r="G30" s="27">
        <f>IFERROR(AVERAGEIFS(d_psf,d_type,$B30),"")</f>
        <v>235.81425631873867</v>
      </c>
      <c r="H30" s="40">
        <f>IFERROR(AVERAGEIFS(d_sqft,d_type,$B30),"")</f>
        <v>1157.5438596491229</v>
      </c>
      <c r="I30" s="28">
        <f>IFERROR(AVERAGEIFS(d_beds,d_type,$B30),"")</f>
        <v>1.631578947368421</v>
      </c>
      <c r="J30" s="28">
        <f>IFERROR(AVERAGEIFS(d_dom,d_type,$B30),"")</f>
        <v>59.636363636363633</v>
      </c>
      <c r="K30" s="29">
        <f>IFERROR(AVERAGEIFS(d_stl,d_type,$B30),"")</f>
        <v>0.97307063335803845</v>
      </c>
      <c r="L30" s="26">
        <f>RANK(E30,E$30:E$32)</f>
        <v>3</v>
      </c>
    </row>
    <row r="31" spans="2:13" x14ac:dyDescent="0.35">
      <c r="B31" s="39" t="s">
        <v>27</v>
      </c>
      <c r="C31" s="26">
        <f>COUNTIFS(d_type,$B31)</f>
        <v>146</v>
      </c>
      <c r="D31" s="29">
        <f>C31/C$33</f>
        <v>0.58399999999999996</v>
      </c>
      <c r="E31" s="27">
        <f>IFERROR(AVERAGEIFS(d_price,d_type,$B31),"")</f>
        <v>452575.34246575343</v>
      </c>
      <c r="F31" s="27">
        <f t="array" ref="F31">IFERROR(MEDIAN(IF(d_type=$B31,d_price)),"")</f>
        <v>428500</v>
      </c>
      <c r="G31" s="27">
        <f>IFERROR(AVERAGEIFS(d_psf,d_type,$B31),"")</f>
        <v>225.45493899017006</v>
      </c>
      <c r="H31" s="40">
        <f>IFERROR(AVERAGEIFS(d_sqft,d_type,$B31),"")</f>
        <v>1980.8219178082193</v>
      </c>
      <c r="I31" s="28">
        <f>IFERROR(AVERAGEIFS(d_beds,d_type,$B31),"")</f>
        <v>3.5821917808219177</v>
      </c>
      <c r="J31" s="28">
        <f>IFERROR(AVERAGEIFS(d_dom,d_type,$B31),"")</f>
        <v>57.471830985915496</v>
      </c>
      <c r="K31" s="29">
        <f>IFERROR(AVERAGEIFS(d_stl,d_type,$B31),"")</f>
        <v>0.97535231191088634</v>
      </c>
      <c r="L31" s="26">
        <f>RANK(E31,E$30:E$32)</f>
        <v>1</v>
      </c>
    </row>
    <row r="32" spans="2:13" x14ac:dyDescent="0.35">
      <c r="B32" s="39" t="s">
        <v>28</v>
      </c>
      <c r="C32" s="26">
        <f>COUNTIFS(d_type,$B32)</f>
        <v>47</v>
      </c>
      <c r="D32" s="29">
        <f>C32/C$33</f>
        <v>0.188</v>
      </c>
      <c r="E32" s="27">
        <f>IFERROR(AVERAGEIFS(d_price,d_type,$B32),"")</f>
        <v>345255.31914893619</v>
      </c>
      <c r="F32" s="27">
        <f t="array" ref="F32">IFERROR(MEDIAN(IF(d_type=$B32,d_price)),"")</f>
        <v>339000</v>
      </c>
      <c r="G32" s="27">
        <f>IFERROR(AVERAGEIFS(d_psf,d_type,$B32),"")</f>
        <v>215.28185311549672</v>
      </c>
      <c r="H32" s="40">
        <f>IFERROR(AVERAGEIFS(d_sqft,d_type,$B32),"")</f>
        <v>1629.3617021276596</v>
      </c>
      <c r="I32" s="28">
        <f>IFERROR(AVERAGEIFS(d_beds,d_type,$B32),"")</f>
        <v>2.7872340425531914</v>
      </c>
      <c r="J32" s="28">
        <f>IFERROR(AVERAGEIFS(d_dom,d_type,$B32),"")</f>
        <v>54.288888888888891</v>
      </c>
      <c r="K32" s="29">
        <f>IFERROR(AVERAGEIFS(d_stl,d_type,$B32),"")</f>
        <v>0.97578539087374205</v>
      </c>
      <c r="L32" s="26">
        <f>RANK(E32,E$30:E$32)</f>
        <v>2</v>
      </c>
    </row>
    <row r="33" spans="2:13" x14ac:dyDescent="0.35">
      <c r="B33" s="41" t="s">
        <v>77</v>
      </c>
      <c r="C33" s="33">
        <f>COUNT(d_price)</f>
        <v>250</v>
      </c>
      <c r="D33" s="36">
        <f>C33/C$33</f>
        <v>1</v>
      </c>
      <c r="E33" s="34">
        <f>AVERAGE(d_price)</f>
        <v>390400</v>
      </c>
      <c r="F33" s="34">
        <f>MEDIAN(d_price)</f>
        <v>366000</v>
      </c>
      <c r="G33" s="34">
        <f>AVERAGE(d_psf)</f>
        <v>225.90432319664487</v>
      </c>
      <c r="H33" s="44">
        <f>AVERAGE(d_sqft)</f>
        <v>1727.04</v>
      </c>
      <c r="I33" s="35">
        <f>AVERAGE(d_beds)</f>
        <v>2.988</v>
      </c>
      <c r="J33" s="35">
        <f>AVERAGE(d_dom)</f>
        <v>57.371900826446279</v>
      </c>
      <c r="K33" s="36">
        <f>AVERAGE(d_stl)</f>
        <v>0.97491350804585453</v>
      </c>
      <c r="L33" s="33" t="s">
        <v>58</v>
      </c>
    </row>
    <row r="36" spans="2:13" x14ac:dyDescent="0.35">
      <c r="B36" s="123" t="s">
        <v>116</v>
      </c>
      <c r="C36" s="123"/>
      <c r="D36" s="123"/>
      <c r="E36" s="123"/>
      <c r="F36" s="123"/>
      <c r="G36" s="123"/>
      <c r="H36" s="123"/>
      <c r="I36" s="123"/>
      <c r="J36" s="123"/>
      <c r="K36" s="123"/>
      <c r="L36" s="123"/>
      <c r="M36" s="123"/>
    </row>
    <row r="37" spans="2:13" x14ac:dyDescent="0.35">
      <c r="B37" s="45" t="s">
        <v>117</v>
      </c>
      <c r="C37" s="10" t="s">
        <v>27</v>
      </c>
      <c r="D37" s="10"/>
    </row>
    <row r="39" spans="2:13" ht="30" customHeight="1" x14ac:dyDescent="0.35">
      <c r="B39" s="23" t="s">
        <v>25</v>
      </c>
      <c r="C39" s="24" t="s">
        <v>48</v>
      </c>
      <c r="D39" s="24" t="s">
        <v>118</v>
      </c>
      <c r="E39" s="24" t="s">
        <v>50</v>
      </c>
      <c r="F39" s="24" t="s">
        <v>69</v>
      </c>
      <c r="G39" s="24" t="s">
        <v>52</v>
      </c>
      <c r="H39" s="24" t="s">
        <v>53</v>
      </c>
    </row>
    <row r="40" spans="2:13" x14ac:dyDescent="0.35">
      <c r="B40" s="46" t="s">
        <v>72</v>
      </c>
      <c r="C40" s="26">
        <f>COUNTIFS(d_type,$C$37,d_nbhd,$B40)</f>
        <v>25</v>
      </c>
      <c r="D40" s="29">
        <f>C40/COUNTIFS(d_type,$C$37)</f>
        <v>0.17123287671232876</v>
      </c>
      <c r="E40" s="27">
        <f>IFERROR(AVERAGEIFS(d_price,d_type,$C$37,d_nbhd,$B40),"—")</f>
        <v>333120</v>
      </c>
      <c r="F40" s="27">
        <f>IFERROR(AVERAGEIFS(d_psf,d_type,$C$37,d_nbhd,$B40),"—")</f>
        <v>177.64610613361515</v>
      </c>
      <c r="G40" s="28">
        <f>IFERROR(AVERAGEIFS(d_dom,d_type,$C$37,d_nbhd,$B40),"—")</f>
        <v>60.24</v>
      </c>
      <c r="H40" s="29">
        <f>IFERROR(AVERAGEIFS(d_stl,d_type,$C$37,d_nbhd,$B40),"—")</f>
        <v>0.97720658961913853</v>
      </c>
    </row>
    <row r="41" spans="2:13" x14ac:dyDescent="0.35">
      <c r="B41" s="46" t="s">
        <v>73</v>
      </c>
      <c r="C41" s="26">
        <f>COUNTIFS(d_type,$C$37,d_nbhd,$B41)</f>
        <v>13</v>
      </c>
      <c r="D41" s="29">
        <f>C41/COUNTIFS(d_type,$C$37)</f>
        <v>8.9041095890410954E-2</v>
      </c>
      <c r="E41" s="27">
        <f>IFERROR(AVERAGEIFS(d_price,d_type,$C$37,d_nbhd,$B41),"—")</f>
        <v>576692.30769230775</v>
      </c>
      <c r="F41" s="27">
        <f>IFERROR(AVERAGEIFS(d_psf,d_type,$C$37,d_nbhd,$B41),"—")</f>
        <v>305.97858869738729</v>
      </c>
      <c r="G41" s="28">
        <f>IFERROR(AVERAGEIFS(d_dom,d_type,$C$37,d_nbhd,$B41),"—")</f>
        <v>52.846153846153847</v>
      </c>
      <c r="H41" s="29">
        <f>IFERROR(AVERAGEIFS(d_stl,d_type,$C$37,d_nbhd,$B41),"—")</f>
        <v>0.97881131250887365</v>
      </c>
    </row>
    <row r="42" spans="2:13" x14ac:dyDescent="0.35">
      <c r="B42" s="46" t="s">
        <v>74</v>
      </c>
      <c r="C42" s="26">
        <f>COUNTIFS(d_type,$C$37,d_nbhd,$B42)</f>
        <v>30</v>
      </c>
      <c r="D42" s="29">
        <f>C42/COUNTIFS(d_type,$C$37)</f>
        <v>0.20547945205479451</v>
      </c>
      <c r="E42" s="27">
        <f>IFERROR(AVERAGEIFS(d_price,d_type,$C$37,d_nbhd,$B42),"—")</f>
        <v>376633.33333333331</v>
      </c>
      <c r="F42" s="27">
        <f>IFERROR(AVERAGEIFS(d_psf,d_type,$C$37,d_nbhd,$B42),"—")</f>
        <v>197.91140311711013</v>
      </c>
      <c r="G42" s="28">
        <f>IFERROR(AVERAGEIFS(d_dom,d_type,$C$37,d_nbhd,$B42),"—")</f>
        <v>53.035714285714285</v>
      </c>
      <c r="H42" s="29">
        <f>IFERROR(AVERAGEIFS(d_stl,d_type,$C$37,d_nbhd,$B42),"—")</f>
        <v>0.97223216493524467</v>
      </c>
    </row>
    <row r="43" spans="2:13" x14ac:dyDescent="0.35">
      <c r="B43" s="46" t="s">
        <v>75</v>
      </c>
      <c r="C43" s="26">
        <f>COUNTIFS(d_type,$C$37,d_nbhd,$B43)</f>
        <v>37</v>
      </c>
      <c r="D43" s="29">
        <f>C43/COUNTIFS(d_type,$C$37)</f>
        <v>0.25342465753424659</v>
      </c>
      <c r="E43" s="27">
        <f>IFERROR(AVERAGEIFS(d_price,d_type,$C$37,d_nbhd,$B43),"—")</f>
        <v>572756.7567567568</v>
      </c>
      <c r="F43" s="27">
        <f>IFERROR(AVERAGEIFS(d_psf,d_type,$C$37,d_nbhd,$B43),"—")</f>
        <v>258.38389208111278</v>
      </c>
      <c r="G43" s="28">
        <f>IFERROR(AVERAGEIFS(d_dom,d_type,$C$37,d_nbhd,$B43),"—")</f>
        <v>58.571428571428569</v>
      </c>
      <c r="H43" s="29">
        <f>IFERROR(AVERAGEIFS(d_stl,d_type,$C$37,d_nbhd,$B43),"—")</f>
        <v>0.97163473419987234</v>
      </c>
    </row>
    <row r="44" spans="2:13" x14ac:dyDescent="0.35">
      <c r="B44" s="46" t="s">
        <v>76</v>
      </c>
      <c r="C44" s="26">
        <f>COUNTIFS(d_type,$C$37,d_nbhd,$B44)</f>
        <v>39</v>
      </c>
      <c r="D44" s="29">
        <f>C44/COUNTIFS(d_type,$C$37)</f>
        <v>0.26712328767123289</v>
      </c>
      <c r="E44" s="27">
        <f>IFERROR(AVERAGEIFS(d_price,d_type,$C$37,d_nbhd,$B44),"—")</f>
        <v>434128.20512820513</v>
      </c>
      <c r="F44" s="27">
        <f>IFERROR(AVERAGEIFS(d_psf,d_type,$C$37,d_nbhd,$B44),"—")</f>
        <v>221.06576177127397</v>
      </c>
      <c r="G44" s="28">
        <f>IFERROR(AVERAGEIFS(d_dom,d_type,$C$37,d_nbhd,$B44),"—")</f>
        <v>58.435897435897438</v>
      </c>
      <c r="H44" s="29">
        <f>IFERROR(AVERAGEIFS(d_stl,d_type,$C$37,d_nbhd,$B44),"—")</f>
        <v>0.97775109283329442</v>
      </c>
    </row>
  </sheetData>
  <mergeCells count="27">
    <mergeCell ref="B28:M28"/>
    <mergeCell ref="B36:M36"/>
    <mergeCell ref="C37:D37"/>
    <mergeCell ref="I10:M12"/>
    <mergeCell ref="I13:M15"/>
    <mergeCell ref="I16:M18"/>
    <mergeCell ref="I19:M21"/>
    <mergeCell ref="I22:M24"/>
    <mergeCell ref="B7:D7"/>
    <mergeCell ref="E7:G7"/>
    <mergeCell ref="H7:J7"/>
    <mergeCell ref="K7:M7"/>
    <mergeCell ref="B9:G9"/>
    <mergeCell ref="I9:M9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C3:D3"/>
    <mergeCell ref="E3:F3"/>
    <mergeCell ref="G3:M3"/>
  </mergeCells>
  <conditionalFormatting sqref="E40:E44">
    <cfRule type="colorScale" priority="2">
      <colorScale>
        <cfvo type="min"/>
        <cfvo type="max"/>
        <color rgb="FFF4F9F8"/>
        <color rgb="FF2A9D8F"/>
      </colorScale>
    </cfRule>
  </conditionalFormatting>
  <dataValidations count="1">
    <dataValidation type="list" sqref="C37" xr:uid="{00000000-0002-0000-0400-000000000000}">
      <formula1>"Condo,Single Family,Townhouse"</formula1>
      <formula2>0</formula2>
    </dataValidation>
  </dataValidations>
  <hyperlinks>
    <hyperlink ref="B3" location="'Dashboard'!A1" display="◂ Back to Dashboard" xr:uid="{00000000-0004-0000-0400-000000000000}"/>
    <hyperlink ref="C3" location="'D3_Speed_Negotiation'!A1" display="◂ Previous graph" xr:uid="{00000000-0004-0000-0400-000001000000}"/>
    <hyperlink ref="E3" location="'D5_Price_Distribution'!A1" display="Next graph ▸" xr:uid="{00000000-0004-0000-0400-000002000000}"/>
  </hyperlink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E9A23B"/>
    <pageSetUpPr fitToPage="1"/>
  </sheetPr>
  <dimension ref="B1:M38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1" customWidth="1"/>
    <col min="3" max="13" width="13" customWidth="1"/>
    <col min="14" max="14" width="2" customWidth="1"/>
  </cols>
  <sheetData>
    <row r="1" spans="2:13" ht="33.75" customHeight="1" x14ac:dyDescent="0.35">
      <c r="B1" s="112" t="s">
        <v>119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2:13" ht="18" customHeight="1" x14ac:dyDescent="0.35">
      <c r="B2" s="12" t="s">
        <v>120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21.75" customHeight="1" x14ac:dyDescent="0.35">
      <c r="B3" s="22" t="s">
        <v>36</v>
      </c>
      <c r="C3" s="111" t="s">
        <v>37</v>
      </c>
      <c r="D3" s="111"/>
      <c r="E3" s="111" t="s">
        <v>38</v>
      </c>
      <c r="F3" s="111"/>
      <c r="G3" s="113" t="s">
        <v>121</v>
      </c>
      <c r="H3" s="113"/>
      <c r="I3" s="113"/>
      <c r="J3" s="113"/>
      <c r="K3" s="113"/>
      <c r="L3" s="113"/>
      <c r="M3" s="113"/>
    </row>
    <row r="4" spans="2:13" ht="7.5" customHeight="1" x14ac:dyDescent="0.35"/>
    <row r="5" spans="2:13" ht="15.75" customHeight="1" x14ac:dyDescent="0.35">
      <c r="B5" s="9" t="s">
        <v>122</v>
      </c>
      <c r="C5" s="9"/>
      <c r="D5" s="9"/>
      <c r="E5" s="9" t="s">
        <v>7</v>
      </c>
      <c r="F5" s="9"/>
      <c r="G5" s="9"/>
      <c r="H5" s="9" t="s">
        <v>123</v>
      </c>
      <c r="I5" s="9"/>
      <c r="J5" s="9"/>
      <c r="K5" s="9" t="s">
        <v>124</v>
      </c>
      <c r="L5" s="9"/>
      <c r="M5" s="9"/>
    </row>
    <row r="6" spans="2:13" ht="30" customHeight="1" x14ac:dyDescent="0.35">
      <c r="B6" s="120" t="str">
        <f>INDEX(B30:B36,MATCH(MAX(C30:C36),C30:C36,0))</f>
        <v>$300-400K</v>
      </c>
      <c r="C6" s="120"/>
      <c r="D6" s="120"/>
      <c r="E6" s="122">
        <f>L32</f>
        <v>366000</v>
      </c>
      <c r="F6" s="122"/>
      <c r="G6" s="122"/>
      <c r="H6" s="124">
        <f>COUNTIF(d_price,"&lt;300000")/COUNT(d_price)</f>
        <v>0.25600000000000001</v>
      </c>
      <c r="I6" s="124"/>
      <c r="J6" s="124"/>
      <c r="K6" s="124">
        <f>COUNTIF(d_price,"&gt;=600000")/COUNT(d_price)</f>
        <v>0.06</v>
      </c>
      <c r="L6" s="124"/>
      <c r="M6" s="124"/>
    </row>
    <row r="7" spans="2:13" ht="15.75" customHeight="1" x14ac:dyDescent="0.35">
      <c r="B7" s="3" t="str">
        <f>MAX(C30:C36)&amp;" homes ("&amp;TEXT(MAX(C30:C36)/C37,"0%")&amp;")"</f>
        <v>89 homes (36%)</v>
      </c>
      <c r="C7" s="3"/>
      <c r="D7" s="3"/>
      <c r="E7" s="3" t="str">
        <f>"Mean "&amp;TEXT(L35,"$#,##0")</f>
        <v>Mean $3,90,400</v>
      </c>
      <c r="F7" s="3"/>
      <c r="G7" s="3"/>
      <c r="H7" s="3" t="str">
        <f>"entry-level homes"</f>
        <v>entry-level homes</v>
      </c>
      <c r="I7" s="3"/>
      <c r="J7" s="3"/>
      <c r="K7" s="3" t="str">
        <f>"90th percentile = "&amp;TEXT(L34,"$#,##0")</f>
        <v>90th percentile = $5,28,800</v>
      </c>
      <c r="L7" s="3"/>
      <c r="M7" s="3"/>
    </row>
    <row r="8" spans="2:13" ht="7.5" customHeight="1" x14ac:dyDescent="0.35"/>
    <row r="9" spans="2:13" x14ac:dyDescent="0.35">
      <c r="B9" s="117" t="s">
        <v>44</v>
      </c>
      <c r="C9" s="117"/>
      <c r="D9" s="117"/>
      <c r="E9" s="117"/>
      <c r="F9" s="117"/>
      <c r="G9" s="117"/>
      <c r="I9" s="117" t="s">
        <v>45</v>
      </c>
      <c r="J9" s="117"/>
      <c r="K9" s="117"/>
      <c r="L9" s="117"/>
      <c r="M9" s="117"/>
    </row>
    <row r="10" spans="2:13" x14ac:dyDescent="0.35">
      <c r="I10" s="118" t="str">
        <f>"Most common band: "&amp;INDEX(B30:B36,MATCH(MAX(C30:C36),C30:C36,0))&amp;" ("&amp;MAX(C30:C36)&amp;" homes, "&amp;TEXT(MAX(C30:C36)/C37,"0%")&amp;" of sales)."</f>
        <v>Most common band: $300-400K (89 homes, 36% of sales).</v>
      </c>
      <c r="J10" s="118"/>
      <c r="K10" s="118"/>
      <c r="L10" s="118"/>
      <c r="M10" s="118"/>
    </row>
    <row r="11" spans="2:13" x14ac:dyDescent="0.35">
      <c r="I11" s="118"/>
      <c r="J11" s="118"/>
      <c r="K11" s="118"/>
      <c r="L11" s="118"/>
      <c r="M11" s="118"/>
    </row>
    <row r="12" spans="2:13" x14ac:dyDescent="0.35">
      <c r="I12" s="118"/>
      <c r="J12" s="118"/>
      <c r="K12" s="118"/>
      <c r="L12" s="118"/>
      <c r="M12" s="118"/>
    </row>
    <row r="13" spans="2:13" x14ac:dyDescent="0.35">
      <c r="I13" s="119" t="str">
        <f>"The middle 50% of homes sold between "&amp;TEXT(L31,"$#,##0")&amp;" and "&amp;TEXT(L33,"$#,##0")&amp;" (IQR "&amp;TEXT(L37,"$#,##0")&amp;")."</f>
        <v>The middle 50% of homes sold between $2,97,250 and $4,50,000 (IQR $1,52,750).</v>
      </c>
      <c r="J13" s="119"/>
      <c r="K13" s="119"/>
      <c r="L13" s="119"/>
      <c r="M13" s="119"/>
    </row>
    <row r="14" spans="2:13" x14ac:dyDescent="0.35">
      <c r="I14" s="119"/>
      <c r="J14" s="119"/>
      <c r="K14" s="119"/>
      <c r="L14" s="119"/>
      <c r="M14" s="119"/>
    </row>
    <row r="15" spans="2:13" x14ac:dyDescent="0.35">
      <c r="I15" s="119"/>
      <c r="J15" s="119"/>
      <c r="K15" s="119"/>
      <c r="L15" s="119"/>
      <c r="M15" s="119"/>
    </row>
    <row r="16" spans="2:13" x14ac:dyDescent="0.35">
      <c r="I16" s="118" t="str">
        <f>"Mean ("&amp;TEXT(L35,"$#,##0")&amp;") is "&amp;TEXT(L35/L32-1,"0.0%")&amp;IF(L35&gt;L32," above"," below")&amp;" the median ("&amp;TEXT(L32,"$#,##0")&amp;"); skewness "&amp;TEXT(L38,"0.0")&amp;IF(L38&gt;1," = strong right tail from luxury sales."," = fairly balanced.")</f>
        <v>Mean ($3,90,400) is 6.7% above the median ($3,66,000); skewness 9.2 = strong right tail from luxury sales.</v>
      </c>
      <c r="J16" s="118"/>
      <c r="K16" s="118"/>
      <c r="L16" s="118"/>
      <c r="M16" s="118"/>
    </row>
    <row r="17" spans="2:13" x14ac:dyDescent="0.35">
      <c r="I17" s="118"/>
      <c r="J17" s="118"/>
      <c r="K17" s="118"/>
      <c r="L17" s="118"/>
      <c r="M17" s="118"/>
    </row>
    <row r="18" spans="2:13" x14ac:dyDescent="0.35">
      <c r="I18" s="118"/>
      <c r="J18" s="118"/>
      <c r="K18" s="118"/>
      <c r="L18" s="118"/>
      <c r="M18" s="118"/>
    </row>
    <row r="19" spans="2:13" x14ac:dyDescent="0.35">
      <c r="I19" s="119" t="str">
        <f>"Entry-level (&lt;$300K) is "&amp;TEXT(COUNTIF(d_price,"&lt;300000")/COUNT(d_price),"0%")&amp;" of sales vs only "&amp;TEXT(COUNTIF(d_price,"&gt;=600000")/COUNT(d_price),"0%")&amp;" at $600K+."</f>
        <v>Entry-level (&lt;$300K) is 26% of sales vs only 6% at $600K+.</v>
      </c>
      <c r="J19" s="119"/>
      <c r="K19" s="119"/>
      <c r="L19" s="119"/>
      <c r="M19" s="119"/>
    </row>
    <row r="20" spans="2:13" x14ac:dyDescent="0.35">
      <c r="I20" s="119"/>
      <c r="J20" s="119"/>
      <c r="K20" s="119"/>
      <c r="L20" s="119"/>
      <c r="M20" s="119"/>
    </row>
    <row r="21" spans="2:13" x14ac:dyDescent="0.35">
      <c r="I21" s="119"/>
      <c r="J21" s="119"/>
      <c r="K21" s="119"/>
      <c r="L21" s="119"/>
      <c r="M21" s="119"/>
    </row>
    <row r="22" spans="2:13" x14ac:dyDescent="0.35">
      <c r="I22" s="118" t="str">
        <f>"Price per sq ft goes from "&amp;TEXT(F30,"$#,##0")&amp;" in the lowest band to "&amp;TEXT(F36,"$#,##0")&amp;" in the top band."</f>
        <v>Price per sq ft goes from $209 in the lowest band to $416 in the top band.</v>
      </c>
      <c r="J22" s="118"/>
      <c r="K22" s="118"/>
      <c r="L22" s="118"/>
      <c r="M22" s="118"/>
    </row>
    <row r="23" spans="2:13" x14ac:dyDescent="0.35">
      <c r="I23" s="118"/>
      <c r="J23" s="118"/>
      <c r="K23" s="118"/>
      <c r="L23" s="118"/>
      <c r="M23" s="118"/>
    </row>
    <row r="24" spans="2:13" x14ac:dyDescent="0.35">
      <c r="I24" s="118"/>
      <c r="J24" s="118"/>
      <c r="K24" s="118"/>
      <c r="L24" s="118"/>
      <c r="M24" s="118"/>
    </row>
    <row r="28" spans="2:13" x14ac:dyDescent="0.35">
      <c r="B28" s="117" t="s">
        <v>46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</row>
    <row r="29" spans="2:13" ht="30" customHeight="1" x14ac:dyDescent="0.35">
      <c r="B29" s="23" t="s">
        <v>125</v>
      </c>
      <c r="C29" s="24" t="s">
        <v>48</v>
      </c>
      <c r="D29" s="24" t="s">
        <v>67</v>
      </c>
      <c r="E29" s="24" t="s">
        <v>126</v>
      </c>
      <c r="F29" s="24" t="s">
        <v>69</v>
      </c>
      <c r="G29" s="24" t="s">
        <v>52</v>
      </c>
      <c r="H29" s="24" t="s">
        <v>70</v>
      </c>
      <c r="J29" s="126" t="s">
        <v>127</v>
      </c>
      <c r="K29" s="126"/>
      <c r="L29" s="54" t="s">
        <v>128</v>
      </c>
    </row>
    <row r="30" spans="2:13" x14ac:dyDescent="0.35">
      <c r="B30" s="46" t="str">
        <f>Pivots!A66</f>
        <v>Under $200K</v>
      </c>
      <c r="C30" s="26">
        <f>Pivots!C66</f>
        <v>17</v>
      </c>
      <c r="D30" s="29">
        <f>Pivots!D66</f>
        <v>6.8000000000000005E-2</v>
      </c>
      <c r="E30" s="29">
        <f>SUM(D$30:D30)</f>
        <v>6.8000000000000005E-2</v>
      </c>
      <c r="F30" s="27">
        <f>Pivots!E66</f>
        <v>208.59442243836492</v>
      </c>
      <c r="G30" s="28">
        <f>Pivots!F66</f>
        <v>69.705882352941174</v>
      </c>
      <c r="H30" s="40">
        <f t="shared" ref="H30:H36" si="0">IFERROR(AVERAGEIFS(d_sqft,d_band,B30),"")</f>
        <v>821.76470588235293</v>
      </c>
      <c r="J30" s="127" t="s">
        <v>129</v>
      </c>
      <c r="K30" s="127"/>
      <c r="L30" s="27">
        <f>PERCENTILE(d_price,0.1)</f>
        <v>231800</v>
      </c>
    </row>
    <row r="31" spans="2:13" x14ac:dyDescent="0.35">
      <c r="B31" s="46" t="str">
        <f>Pivots!A67</f>
        <v>$200-300K</v>
      </c>
      <c r="C31" s="26">
        <f>Pivots!C67</f>
        <v>47</v>
      </c>
      <c r="D31" s="29">
        <f>Pivots!D67</f>
        <v>0.188</v>
      </c>
      <c r="E31" s="29">
        <f>SUM(D$30:D31)</f>
        <v>0.25600000000000001</v>
      </c>
      <c r="F31" s="27">
        <f>Pivots!E67</f>
        <v>200.7954139985211</v>
      </c>
      <c r="G31" s="28">
        <f>Pivots!F67</f>
        <v>64.744186046511629</v>
      </c>
      <c r="H31" s="40">
        <f t="shared" si="0"/>
        <v>1350.6382978723404</v>
      </c>
      <c r="J31" s="127" t="s">
        <v>130</v>
      </c>
      <c r="K31" s="127"/>
      <c r="L31" s="27">
        <f>QUARTILE(d_price,1)</f>
        <v>297250</v>
      </c>
    </row>
    <row r="32" spans="2:13" x14ac:dyDescent="0.35">
      <c r="B32" s="46" t="str">
        <f>Pivots!A68</f>
        <v>$300-400K</v>
      </c>
      <c r="C32" s="26">
        <f>Pivots!C68</f>
        <v>89</v>
      </c>
      <c r="D32" s="29">
        <f>Pivots!D68</f>
        <v>0.35599999999999998</v>
      </c>
      <c r="E32" s="29">
        <f>SUM(D$30:D32)</f>
        <v>0.61199999999999999</v>
      </c>
      <c r="F32" s="27">
        <f>Pivots!E68</f>
        <v>216.53975178459072</v>
      </c>
      <c r="G32" s="28">
        <f>Pivots!F68</f>
        <v>54.747126436781606</v>
      </c>
      <c r="H32" s="40">
        <f t="shared" si="0"/>
        <v>1668.0898876404494</v>
      </c>
      <c r="J32" s="127" t="s">
        <v>131</v>
      </c>
      <c r="K32" s="127"/>
      <c r="L32" s="27">
        <f>MEDIAN(d_price)</f>
        <v>366000</v>
      </c>
    </row>
    <row r="33" spans="2:12" x14ac:dyDescent="0.35">
      <c r="B33" s="46" t="str">
        <f>Pivots!A69</f>
        <v>$400-500K</v>
      </c>
      <c r="C33" s="26">
        <f>Pivots!C69</f>
        <v>57</v>
      </c>
      <c r="D33" s="29">
        <f>Pivots!D69</f>
        <v>0.22800000000000001</v>
      </c>
      <c r="E33" s="29">
        <f>SUM(D$30:D33)</f>
        <v>0.84</v>
      </c>
      <c r="F33" s="27">
        <f>Pivots!E69</f>
        <v>239.24878430203646</v>
      </c>
      <c r="G33" s="28">
        <f>Pivots!F69</f>
        <v>53.836363636363636</v>
      </c>
      <c r="H33" s="40">
        <f t="shared" si="0"/>
        <v>1938.0701754385964</v>
      </c>
      <c r="J33" s="127" t="s">
        <v>132</v>
      </c>
      <c r="K33" s="127"/>
      <c r="L33" s="27">
        <f>QUARTILE(d_price,3)</f>
        <v>450000</v>
      </c>
    </row>
    <row r="34" spans="2:12" x14ac:dyDescent="0.35">
      <c r="B34" s="46" t="str">
        <f>Pivots!A70</f>
        <v>$500-600K</v>
      </c>
      <c r="C34" s="26">
        <f>Pivots!C70</f>
        <v>25</v>
      </c>
      <c r="D34" s="29">
        <f>Pivots!D70</f>
        <v>0.1</v>
      </c>
      <c r="E34" s="29">
        <f>SUM(D$30:D34)</f>
        <v>0.94</v>
      </c>
      <c r="F34" s="27">
        <f>Pivots!E70</f>
        <v>248.82453584487178</v>
      </c>
      <c r="G34" s="28">
        <f>Pivots!F70</f>
        <v>54.92</v>
      </c>
      <c r="H34" s="40">
        <f t="shared" si="0"/>
        <v>2184</v>
      </c>
      <c r="J34" s="127" t="s">
        <v>133</v>
      </c>
      <c r="K34" s="127"/>
      <c r="L34" s="27">
        <f>PERCENTILE(d_price,0.9)</f>
        <v>528800</v>
      </c>
    </row>
    <row r="35" spans="2:12" x14ac:dyDescent="0.35">
      <c r="B35" s="46" t="str">
        <f>Pivots!A71</f>
        <v>$600-800K</v>
      </c>
      <c r="C35" s="26">
        <f>Pivots!C71</f>
        <v>13</v>
      </c>
      <c r="D35" s="29">
        <f>Pivots!D71</f>
        <v>5.1999999999999998E-2</v>
      </c>
      <c r="E35" s="29">
        <f>SUM(D$30:D35)</f>
        <v>0.99199999999999999</v>
      </c>
      <c r="F35" s="27">
        <f>Pivots!E71</f>
        <v>271.61687775431977</v>
      </c>
      <c r="G35" s="28">
        <f>Pivots!F71</f>
        <v>54.769230769230766</v>
      </c>
      <c r="H35" s="40">
        <f t="shared" si="0"/>
        <v>2438.4615384615386</v>
      </c>
      <c r="J35" s="127" t="s">
        <v>134</v>
      </c>
      <c r="K35" s="127"/>
      <c r="L35" s="27">
        <f>AVERAGE(d_price)</f>
        <v>390400</v>
      </c>
    </row>
    <row r="36" spans="2:12" x14ac:dyDescent="0.35">
      <c r="B36" s="46" t="str">
        <f>Pivots!A72</f>
        <v>$800K+</v>
      </c>
      <c r="C36" s="26">
        <f>Pivots!C72</f>
        <v>2</v>
      </c>
      <c r="D36" s="29">
        <f>Pivots!D72</f>
        <v>8.0000000000000002E-3</v>
      </c>
      <c r="E36" s="29">
        <f>SUM(D$30:D36)</f>
        <v>1</v>
      </c>
      <c r="F36" s="27">
        <f>Pivots!E72</f>
        <v>415.86986940298505</v>
      </c>
      <c r="G36" s="28">
        <f>Pivots!F72</f>
        <v>53</v>
      </c>
      <c r="H36" s="40">
        <f t="shared" si="0"/>
        <v>4540</v>
      </c>
      <c r="J36" s="127" t="s">
        <v>135</v>
      </c>
      <c r="K36" s="127"/>
      <c r="L36" s="27">
        <f>STDEV(d_price)</f>
        <v>222755.97612544181</v>
      </c>
    </row>
    <row r="37" spans="2:12" x14ac:dyDescent="0.35">
      <c r="B37" s="32" t="s">
        <v>136</v>
      </c>
      <c r="C37" s="37">
        <f>SUM(C30:C36)</f>
        <v>250</v>
      </c>
      <c r="D37" s="36">
        <f>SUM(D30:D36)</f>
        <v>1</v>
      </c>
      <c r="E37" s="37"/>
      <c r="F37" s="37"/>
      <c r="G37" s="37"/>
      <c r="H37" s="37"/>
      <c r="J37" s="127" t="s">
        <v>137</v>
      </c>
      <c r="K37" s="127"/>
      <c r="L37" s="27">
        <f>QUARTILE(d_price,3)-QUARTILE(d_price,1)</f>
        <v>152750</v>
      </c>
    </row>
    <row r="38" spans="2:12" x14ac:dyDescent="0.35">
      <c r="B38" s="38" t="s">
        <v>138</v>
      </c>
      <c r="J38" s="127" t="s">
        <v>139</v>
      </c>
      <c r="K38" s="127"/>
      <c r="L38" s="50">
        <f>SKEW(d_price)</f>
        <v>9.1541077684952299</v>
      </c>
    </row>
  </sheetData>
  <mergeCells count="35">
    <mergeCell ref="J38:K38"/>
    <mergeCell ref="J33:K33"/>
    <mergeCell ref="J34:K34"/>
    <mergeCell ref="J35:K35"/>
    <mergeCell ref="J36:K36"/>
    <mergeCell ref="J37:K37"/>
    <mergeCell ref="B28:M28"/>
    <mergeCell ref="J29:K29"/>
    <mergeCell ref="J30:K30"/>
    <mergeCell ref="J31:K31"/>
    <mergeCell ref="J32:K32"/>
    <mergeCell ref="I10:M12"/>
    <mergeCell ref="I13:M15"/>
    <mergeCell ref="I16:M18"/>
    <mergeCell ref="I19:M21"/>
    <mergeCell ref="I22:M24"/>
    <mergeCell ref="B7:D7"/>
    <mergeCell ref="E7:G7"/>
    <mergeCell ref="H7:J7"/>
    <mergeCell ref="K7:M7"/>
    <mergeCell ref="B9:G9"/>
    <mergeCell ref="I9:M9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C3:D3"/>
    <mergeCell ref="E3:F3"/>
    <mergeCell ref="G3:M3"/>
  </mergeCells>
  <conditionalFormatting sqref="C30:C36">
    <cfRule type="dataBar" priority="2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{88D91EDE-E59C-4C52-9090-FCC67144D911}</x14:id>
        </ext>
      </extLst>
    </cfRule>
  </conditionalFormatting>
  <hyperlinks>
    <hyperlink ref="B3" location="'Dashboard'!A1" display="◂ Back to Dashboard" xr:uid="{00000000-0004-0000-0500-000000000000}"/>
    <hyperlink ref="C3" location="'D4_Property_Type'!A1" display="◂ Previous graph" xr:uid="{00000000-0004-0000-0500-000001000000}"/>
    <hyperlink ref="E3" location="'D6_Size_vs_Price'!A1" display="Next graph ▸" xr:uid="{00000000-0004-0000-0500-000002000000}"/>
  </hyperlink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D91EDE-E59C-4C52-9090-FCC67144D911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C30:C36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E9A23B"/>
    <pageSetUpPr fitToPage="1"/>
  </sheetPr>
  <dimension ref="B1:M4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1" customWidth="1"/>
    <col min="3" max="13" width="13" customWidth="1"/>
    <col min="14" max="14" width="2" customWidth="1"/>
  </cols>
  <sheetData>
    <row r="1" spans="2:13" ht="33.75" customHeight="1" x14ac:dyDescent="0.35">
      <c r="B1" s="112" t="s">
        <v>140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2:13" ht="18" customHeight="1" x14ac:dyDescent="0.35">
      <c r="B2" s="12" t="s">
        <v>141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21.75" customHeight="1" x14ac:dyDescent="0.35">
      <c r="B3" s="22" t="s">
        <v>36</v>
      </c>
      <c r="C3" s="111" t="s">
        <v>37</v>
      </c>
      <c r="D3" s="111"/>
      <c r="E3" s="111" t="s">
        <v>38</v>
      </c>
      <c r="F3" s="111"/>
      <c r="G3" s="113" t="s">
        <v>142</v>
      </c>
      <c r="H3" s="113"/>
      <c r="I3" s="113"/>
      <c r="J3" s="113"/>
      <c r="K3" s="113"/>
      <c r="L3" s="113"/>
      <c r="M3" s="113"/>
    </row>
    <row r="4" spans="2:13" ht="7.5" customHeight="1" x14ac:dyDescent="0.35"/>
    <row r="5" spans="2:13" ht="15.75" customHeight="1" x14ac:dyDescent="0.35">
      <c r="B5" s="9" t="s">
        <v>143</v>
      </c>
      <c r="C5" s="9"/>
      <c r="D5" s="9"/>
      <c r="E5" s="9" t="s">
        <v>144</v>
      </c>
      <c r="F5" s="9"/>
      <c r="G5" s="9"/>
      <c r="H5" s="9" t="s">
        <v>145</v>
      </c>
      <c r="I5" s="9"/>
      <c r="J5" s="9"/>
      <c r="K5" s="9" t="s">
        <v>146</v>
      </c>
      <c r="L5" s="9"/>
      <c r="M5" s="9"/>
    </row>
    <row r="6" spans="2:13" ht="30" customHeight="1" x14ac:dyDescent="0.35">
      <c r="B6" s="128">
        <f>Analysis!B30</f>
        <v>0.79506554588935474</v>
      </c>
      <c r="C6" s="128"/>
      <c r="D6" s="128"/>
      <c r="E6" s="122">
        <f>Analysis!C42</f>
        <v>183.53506645696297</v>
      </c>
      <c r="F6" s="122"/>
      <c r="G6" s="122"/>
      <c r="H6" s="124">
        <f>Analysis!C44</f>
        <v>0.58618350156738797</v>
      </c>
      <c r="I6" s="124"/>
      <c r="J6" s="124"/>
      <c r="K6" s="129">
        <f>MEDIAN(d_sqft)</f>
        <v>1740</v>
      </c>
      <c r="L6" s="129"/>
      <c r="M6" s="129"/>
    </row>
    <row r="7" spans="2:13" ht="15.75" customHeight="1" x14ac:dyDescent="0.35">
      <c r="B7" s="3" t="str">
        <f>Analysis!C30&amp;" relationship"</f>
        <v>Strong relationship</v>
      </c>
      <c r="C7" s="3"/>
      <c r="D7" s="3"/>
      <c r="E7" s="3" t="str">
        <f>"outliers excluded"</f>
        <v>outliers excluded</v>
      </c>
      <c r="F7" s="3"/>
      <c r="G7" s="3"/>
      <c r="H7" s="3" t="str">
        <f>"of price variation explained by size"</f>
        <v>of price variation explained by size</v>
      </c>
      <c r="I7" s="3"/>
      <c r="J7" s="3"/>
      <c r="K7" s="3" t="str">
        <f>"sq ft (typical home)"</f>
        <v>sq ft (typical home)</v>
      </c>
      <c r="L7" s="3"/>
      <c r="M7" s="3"/>
    </row>
    <row r="8" spans="2:13" ht="7.5" customHeight="1" x14ac:dyDescent="0.35"/>
    <row r="9" spans="2:13" x14ac:dyDescent="0.35">
      <c r="B9" s="117" t="s">
        <v>44</v>
      </c>
      <c r="C9" s="117"/>
      <c r="D9" s="117"/>
      <c r="E9" s="117"/>
      <c r="F9" s="117"/>
      <c r="G9" s="117"/>
      <c r="I9" s="117" t="s">
        <v>45</v>
      </c>
      <c r="J9" s="117"/>
      <c r="K9" s="117"/>
      <c r="L9" s="117"/>
      <c r="M9" s="117"/>
    </row>
    <row r="10" spans="2:13" x14ac:dyDescent="0.35">
      <c r="I10" s="118" t="str">
        <f>"Square footage explains about "&amp;TEXT(Analysis!C44,"0%")&amp;" of price variation; each extra sq ft adds ≈ "&amp;TEXT(Analysis!C42,"$#,##0")&amp;"."</f>
        <v>Square footage explains about 59% of price variation; each extra sq ft adds ≈ $184.</v>
      </c>
      <c r="J10" s="118"/>
      <c r="K10" s="118"/>
      <c r="L10" s="118"/>
      <c r="M10" s="118"/>
    </row>
    <row r="11" spans="2:13" x14ac:dyDescent="0.35">
      <c r="I11" s="118"/>
      <c r="J11" s="118"/>
      <c r="K11" s="118"/>
      <c r="L11" s="118"/>
      <c r="M11" s="118"/>
    </row>
    <row r="12" spans="2:13" x14ac:dyDescent="0.35">
      <c r="I12" s="118"/>
      <c r="J12" s="118"/>
      <c r="K12" s="118"/>
      <c r="L12" s="118"/>
      <c r="M12" s="118"/>
    </row>
    <row r="13" spans="2:13" x14ac:dyDescent="0.35">
      <c r="I13" s="119" t="str">
        <f>"Average $/sq ft goes from "&amp;TEXT(G30,"$#,##0")&amp;" (under 1,000 sq ft) to "&amp;TEXT(G34,"$#,##0")&amp;" (2,500+)"&amp;IF(G34&gt;G30,": bigger homes also carry a higher price per sq ft.",": smaller homes carry a higher price per sq ft (typical of condos).")</f>
        <v>Average $/sq ft goes from $245 (under 1,000 sq ft) to $227 (2,500+): smaller homes carry a higher price per sq ft (typical of condos).</v>
      </c>
      <c r="J13" s="119"/>
      <c r="K13" s="119"/>
      <c r="L13" s="119"/>
      <c r="M13" s="119"/>
    </row>
    <row r="14" spans="2:13" x14ac:dyDescent="0.35">
      <c r="I14" s="119"/>
      <c r="J14" s="119"/>
      <c r="K14" s="119"/>
      <c r="L14" s="119"/>
      <c r="M14" s="119"/>
    </row>
    <row r="15" spans="2:13" x14ac:dyDescent="0.35">
      <c r="I15" s="119"/>
      <c r="J15" s="119"/>
      <c r="K15" s="119"/>
      <c r="L15" s="119"/>
      <c r="M15" s="119"/>
    </row>
    <row r="16" spans="2:13" x14ac:dyDescent="0.35">
      <c r="I16" s="118" t="str">
        <f>"Lot size (r = "&amp;TEXT(Analysis!B31,"0.00")&amp;") and bedrooms (r = "&amp;TEXT(Analysis!B32,"0.00")&amp;") also track price, but they overlap with size."</f>
        <v>Lot size (r = 0.78) and bedrooms (r = 0.54) also track price, but they overlap with size.</v>
      </c>
      <c r="J16" s="118"/>
      <c r="K16" s="118"/>
      <c r="L16" s="118"/>
      <c r="M16" s="118"/>
    </row>
    <row r="17" spans="2:13" x14ac:dyDescent="0.35">
      <c r="I17" s="118"/>
      <c r="J17" s="118"/>
      <c r="K17" s="118"/>
      <c r="L17" s="118"/>
      <c r="M17" s="118"/>
    </row>
    <row r="18" spans="2:13" x14ac:dyDescent="0.35">
      <c r="I18" s="118"/>
      <c r="J18" s="118"/>
      <c r="K18" s="118"/>
      <c r="L18" s="118"/>
      <c r="M18" s="118"/>
    </row>
    <row r="19" spans="2:13" x14ac:dyDescent="0.35">
      <c r="I19" s="119" t="str">
        <f>"Year built shows "&amp;IF(ABS(Analysis!B35)&lt;0.2,"almost no","some")&amp;" relationship with price (r = "&amp;TEXT(Analysis!B35,"0.00")&amp;")."</f>
        <v>Year built shows almost no relationship with price (r = 0.12).</v>
      </c>
      <c r="J19" s="119"/>
      <c r="K19" s="119"/>
      <c r="L19" s="119"/>
      <c r="M19" s="119"/>
    </row>
    <row r="20" spans="2:13" x14ac:dyDescent="0.35">
      <c r="I20" s="119"/>
      <c r="J20" s="119"/>
      <c r="K20" s="119"/>
      <c r="L20" s="119"/>
      <c r="M20" s="119"/>
    </row>
    <row r="21" spans="2:13" x14ac:dyDescent="0.35">
      <c r="I21" s="119"/>
      <c r="J21" s="119"/>
      <c r="K21" s="119"/>
      <c r="L21" s="119"/>
      <c r="M21" s="119"/>
    </row>
    <row r="22" spans="2:13" x14ac:dyDescent="0.35">
      <c r="I22" s="118" t="str">
        <f>"Even with sq ft, estimates are off by ≈ "&amp;TEXT(Analysis!C45,"$#,##0")&amp;" on average — location and type matter too."</f>
        <v>Even with sq ft, estimates are off by ≈ $74,997 on average — location and type matter too.</v>
      </c>
      <c r="J22" s="118"/>
      <c r="K22" s="118"/>
      <c r="L22" s="118"/>
      <c r="M22" s="118"/>
    </row>
    <row r="23" spans="2:13" x14ac:dyDescent="0.35">
      <c r="I23" s="118"/>
      <c r="J23" s="118"/>
      <c r="K23" s="118"/>
      <c r="L23" s="118"/>
      <c r="M23" s="118"/>
    </row>
    <row r="24" spans="2:13" x14ac:dyDescent="0.35">
      <c r="I24" s="118"/>
      <c r="J24" s="118"/>
      <c r="K24" s="118"/>
      <c r="L24" s="118"/>
      <c r="M24" s="118"/>
    </row>
    <row r="28" spans="2:13" x14ac:dyDescent="0.35">
      <c r="B28" s="117" t="s">
        <v>46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</row>
    <row r="29" spans="2:13" ht="30" customHeight="1" x14ac:dyDescent="0.35">
      <c r="B29" s="23" t="s">
        <v>147</v>
      </c>
      <c r="C29" s="24" t="s">
        <v>148</v>
      </c>
      <c r="D29" s="24" t="s">
        <v>149</v>
      </c>
      <c r="E29" s="24" t="s">
        <v>48</v>
      </c>
      <c r="F29" s="24" t="s">
        <v>50</v>
      </c>
      <c r="G29" s="24" t="s">
        <v>69</v>
      </c>
      <c r="H29" s="24" t="s">
        <v>115</v>
      </c>
      <c r="I29" s="24" t="s">
        <v>52</v>
      </c>
      <c r="J29" s="24" t="s">
        <v>150</v>
      </c>
    </row>
    <row r="30" spans="2:13" x14ac:dyDescent="0.35">
      <c r="B30" s="46" t="s">
        <v>151</v>
      </c>
      <c r="C30" s="55">
        <v>0</v>
      </c>
      <c r="D30" s="55">
        <v>999</v>
      </c>
      <c r="E30" s="26">
        <f>COUNTIFS(d_sqft,"&gt;="&amp;$C30,d_sqft,"&lt;="&amp;$D30)</f>
        <v>24</v>
      </c>
      <c r="F30" s="27">
        <f>IFERROR(AVERAGEIFS(d_price,d_sqft,"&gt;="&amp;$C30,d_sqft,"&lt;="&amp;$D30),"")</f>
        <v>201541.66666666666</v>
      </c>
      <c r="G30" s="27">
        <f>IFERROR(AVERAGEIFS(d_psf,d_sqft,"&gt;="&amp;$C30,d_sqft,"&lt;="&amp;$D30),"")</f>
        <v>245.0088806979924</v>
      </c>
      <c r="H30" s="28">
        <f>IFERROR(AVERAGEIFS(d_beds,d_sqft,"&gt;="&amp;$C30,d_sqft,"&lt;="&amp;$D30),"")</f>
        <v>1.0833333333333333</v>
      </c>
      <c r="I30" s="28">
        <f>IFERROR(AVERAGEIFS(d_dom,d_sqft,"&gt;="&amp;$C30,d_sqft,"&lt;="&amp;$D30),"")</f>
        <v>66.916666666666671</v>
      </c>
      <c r="J30" s="31" t="s">
        <v>58</v>
      </c>
    </row>
    <row r="31" spans="2:13" x14ac:dyDescent="0.35">
      <c r="B31" s="46" t="s">
        <v>152</v>
      </c>
      <c r="C31" s="55">
        <v>1000</v>
      </c>
      <c r="D31" s="55">
        <v>1499</v>
      </c>
      <c r="E31" s="26">
        <f>COUNTIFS(d_sqft,"&gt;="&amp;$C31,d_sqft,"&lt;="&amp;$D31)</f>
        <v>56</v>
      </c>
      <c r="F31" s="27">
        <f>IFERROR(AVERAGEIFS(d_price,d_sqft,"&gt;="&amp;$C31,d_sqft,"&lt;="&amp;$D31),"")</f>
        <v>308196.42857142858</v>
      </c>
      <c r="G31" s="27">
        <f>IFERROR(AVERAGEIFS(d_psf,d_sqft,"&gt;="&amp;$C31,d_sqft,"&lt;="&amp;$D31),"")</f>
        <v>239.87884600914919</v>
      </c>
      <c r="H31" s="28">
        <f>IFERROR(AVERAGEIFS(d_beds,d_sqft,"&gt;="&amp;$C31,d_sqft,"&lt;="&amp;$D31),"")</f>
        <v>2.0178571428571428</v>
      </c>
      <c r="I31" s="28">
        <f>IFERROR(AVERAGEIFS(d_dom,d_sqft,"&gt;="&amp;$C31,d_sqft,"&lt;="&amp;$D31),"")</f>
        <v>56.351851851851855</v>
      </c>
      <c r="J31" s="31">
        <f>IFERROR(F31-F30,"")</f>
        <v>106654.76190476192</v>
      </c>
    </row>
    <row r="32" spans="2:13" x14ac:dyDescent="0.35">
      <c r="B32" s="46" t="s">
        <v>153</v>
      </c>
      <c r="C32" s="55">
        <v>1500</v>
      </c>
      <c r="D32" s="55">
        <v>1999</v>
      </c>
      <c r="E32" s="26">
        <f>COUNTIFS(d_sqft,"&gt;="&amp;$C32,d_sqft,"&lt;="&amp;$D32)</f>
        <v>105</v>
      </c>
      <c r="F32" s="27">
        <f>IFERROR(AVERAGEIFS(d_price,d_sqft,"&gt;="&amp;$C32,d_sqft,"&lt;="&amp;$D32),"")</f>
        <v>382342.85714285716</v>
      </c>
      <c r="G32" s="27">
        <f>IFERROR(AVERAGEIFS(d_psf,d_sqft,"&gt;="&amp;$C32,d_sqft,"&lt;="&amp;$D32),"")</f>
        <v>217.45631202553832</v>
      </c>
      <c r="H32" s="28">
        <f>IFERROR(AVERAGEIFS(d_beds,d_sqft,"&gt;="&amp;$C32,d_sqft,"&lt;="&amp;$D32),"")</f>
        <v>3.1142857142857143</v>
      </c>
      <c r="I32" s="28">
        <f>IFERROR(AVERAGEIFS(d_dom,d_sqft,"&gt;="&amp;$C32,d_sqft,"&lt;="&amp;$D32),"")</f>
        <v>57.75247524752475</v>
      </c>
      <c r="J32" s="31">
        <f>IFERROR(F32-F31,"")</f>
        <v>74146.42857142858</v>
      </c>
    </row>
    <row r="33" spans="2:10" x14ac:dyDescent="0.35">
      <c r="B33" s="46" t="s">
        <v>154</v>
      </c>
      <c r="C33" s="55">
        <v>2000</v>
      </c>
      <c r="D33" s="55">
        <v>2499</v>
      </c>
      <c r="E33" s="26">
        <f>COUNTIFS(d_sqft,"&gt;="&amp;$C33,d_sqft,"&lt;="&amp;$D33)</f>
        <v>48</v>
      </c>
      <c r="F33" s="27">
        <f>IFERROR(AVERAGEIFS(d_price,d_sqft,"&gt;="&amp;$C33,d_sqft,"&lt;="&amp;$D33),"")</f>
        <v>480979.16666666669</v>
      </c>
      <c r="G33" s="27">
        <f>IFERROR(AVERAGEIFS(d_psf,d_sqft,"&gt;="&amp;$C33,d_sqft,"&lt;="&amp;$D33),"")</f>
        <v>218.26820643489702</v>
      </c>
      <c r="H33" s="28">
        <f>IFERROR(AVERAGEIFS(d_beds,d_sqft,"&gt;="&amp;$C33,d_sqft,"&lt;="&amp;$D33),"")</f>
        <v>4.083333333333333</v>
      </c>
      <c r="I33" s="28">
        <f>IFERROR(AVERAGEIFS(d_dom,d_sqft,"&gt;="&amp;$C33,d_sqft,"&lt;="&amp;$D33),"")</f>
        <v>54.48936170212766</v>
      </c>
      <c r="J33" s="31">
        <f>IFERROR(F33-F32,"")</f>
        <v>98636.309523809527</v>
      </c>
    </row>
    <row r="34" spans="2:10" x14ac:dyDescent="0.35">
      <c r="B34" s="46" t="s">
        <v>155</v>
      </c>
      <c r="C34" s="55">
        <v>2500</v>
      </c>
      <c r="D34" s="55">
        <v>99999</v>
      </c>
      <c r="E34" s="26">
        <f>COUNTIFS(d_sqft,"&gt;="&amp;$C34,d_sqft,"&lt;="&amp;$D34)</f>
        <v>17</v>
      </c>
      <c r="F34" s="27">
        <f>IFERROR(AVERAGEIFS(d_price,d_sqft,"&gt;="&amp;$C34,d_sqft,"&lt;="&amp;$D34),"")</f>
        <v>721823.5294117647</v>
      </c>
      <c r="G34" s="27">
        <f>IFERROR(AVERAGEIFS(d_psf,d_sqft,"&gt;="&amp;$C34,d_sqft,"&lt;="&amp;$D34),"")</f>
        <v>226.63915378473681</v>
      </c>
      <c r="H34" s="28">
        <f>IFERROR(AVERAGEIFS(d_beds,d_sqft,"&gt;="&amp;$C34,d_sqft,"&lt;="&amp;$D34),"")</f>
        <v>5</v>
      </c>
      <c r="I34" s="28">
        <f>IFERROR(AVERAGEIFS(d_dom,d_sqft,"&gt;="&amp;$C34,d_sqft,"&lt;="&amp;$D34),"")</f>
        <v>52.5625</v>
      </c>
      <c r="J34" s="31">
        <f>IFERROR(F34-F33,"")</f>
        <v>240844.36274509801</v>
      </c>
    </row>
    <row r="36" spans="2:10" ht="30" customHeight="1" x14ac:dyDescent="0.35">
      <c r="B36" s="23" t="s">
        <v>156</v>
      </c>
      <c r="C36" s="24" t="s">
        <v>157</v>
      </c>
      <c r="D36" s="24" t="s">
        <v>158</v>
      </c>
      <c r="F36" s="126" t="s">
        <v>159</v>
      </c>
      <c r="G36" s="126"/>
      <c r="H36" s="24" t="s">
        <v>160</v>
      </c>
      <c r="I36" t="s">
        <v>161</v>
      </c>
    </row>
    <row r="37" spans="2:10" x14ac:dyDescent="0.35">
      <c r="B37" s="46" t="s">
        <v>162</v>
      </c>
      <c r="C37" s="56">
        <f>Analysis!B42</f>
        <v>308.03596385995121</v>
      </c>
      <c r="D37" s="57">
        <f>Analysis!C42</f>
        <v>183.53506645696297</v>
      </c>
      <c r="F37" s="127" t="str">
        <f>Analysis!A30</f>
        <v>Living area (sq ft)</v>
      </c>
      <c r="G37" s="127"/>
      <c r="H37" s="50">
        <f>Analysis!B30</f>
        <v>0.79506554588935474</v>
      </c>
      <c r="I37" s="47" t="str">
        <f>Analysis!C30</f>
        <v>Strong</v>
      </c>
    </row>
    <row r="38" spans="2:10" x14ac:dyDescent="0.35">
      <c r="B38" s="46" t="s">
        <v>163</v>
      </c>
      <c r="C38" s="27">
        <f>Analysis!B43</f>
        <v>-141590.43102469016</v>
      </c>
      <c r="D38" s="58">
        <f>Analysis!C43</f>
        <v>62313.480206312786</v>
      </c>
      <c r="F38" s="127" t="str">
        <f>Analysis!A31</f>
        <v>Lot size (sq ft)</v>
      </c>
      <c r="G38" s="127"/>
      <c r="H38" s="50">
        <f>Analysis!B31</f>
        <v>0.77804606612569227</v>
      </c>
      <c r="I38" s="47" t="str">
        <f>Analysis!C31</f>
        <v>Strong</v>
      </c>
    </row>
    <row r="39" spans="2:10" x14ac:dyDescent="0.35">
      <c r="B39" s="46" t="s">
        <v>164</v>
      </c>
      <c r="C39" s="59">
        <f>Analysis!B44</f>
        <v>0.63212922226033752</v>
      </c>
      <c r="D39" s="60">
        <f>Analysis!C44</f>
        <v>0.58618350156738797</v>
      </c>
      <c r="F39" s="127" t="str">
        <f>Analysis!A32</f>
        <v>Bedrooms</v>
      </c>
      <c r="G39" s="127"/>
      <c r="H39" s="50">
        <f>Analysis!B32</f>
        <v>0.53605536978620572</v>
      </c>
      <c r="I39" s="47" t="str">
        <f>Analysis!C32</f>
        <v>Moderate</v>
      </c>
    </row>
    <row r="40" spans="2:10" x14ac:dyDescent="0.35">
      <c r="B40" s="46" t="s">
        <v>165</v>
      </c>
      <c r="C40" s="27">
        <f>Analysis!B45</f>
        <v>135378.85684841321</v>
      </c>
      <c r="D40" s="58">
        <f>Analysis!C45</f>
        <v>74997.114471189459</v>
      </c>
      <c r="F40" s="127" t="str">
        <f>Analysis!A33</f>
        <v>Bathrooms</v>
      </c>
      <c r="G40" s="127"/>
      <c r="H40" s="50">
        <f>Analysis!B33</f>
        <v>0.50530782380502692</v>
      </c>
      <c r="I40" s="47" t="str">
        <f>Analysis!C33</f>
        <v>Moderate</v>
      </c>
    </row>
    <row r="41" spans="2:10" x14ac:dyDescent="0.35">
      <c r="F41" s="127" t="str">
        <f>Analysis!A34</f>
        <v>Garage spaces</v>
      </c>
      <c r="G41" s="127"/>
      <c r="H41" s="50">
        <f>Analysis!B34</f>
        <v>0.32863541759378551</v>
      </c>
      <c r="I41" s="47" t="str">
        <f>Analysis!C34</f>
        <v>Weak</v>
      </c>
    </row>
    <row r="42" spans="2:10" x14ac:dyDescent="0.35">
      <c r="B42" s="45" t="s">
        <v>166</v>
      </c>
      <c r="C42" s="61">
        <v>2000</v>
      </c>
      <c r="F42" s="127" t="str">
        <f>Analysis!A35</f>
        <v>Year built</v>
      </c>
      <c r="G42" s="127"/>
      <c r="H42" s="50">
        <f>Analysis!B35</f>
        <v>0.11917735935399698</v>
      </c>
      <c r="I42" s="47" t="str">
        <f>Analysis!C35</f>
        <v>Negligible</v>
      </c>
    </row>
    <row r="43" spans="2:10" x14ac:dyDescent="0.35">
      <c r="B43" s="62" t="s">
        <v>167</v>
      </c>
      <c r="C43" s="63">
        <f>Analysis!C43+Analysis!C42*C42</f>
        <v>429383.6131202387</v>
      </c>
      <c r="F43" s="127" t="str">
        <f>Analysis!A36</f>
        <v>Days on market</v>
      </c>
      <c r="G43" s="127"/>
      <c r="H43" s="50">
        <f>Analysis!B36</f>
        <v>-6.3011286136105696E-2</v>
      </c>
      <c r="I43" s="47" t="str">
        <f>Analysis!C36</f>
        <v>Negligible (neg.)</v>
      </c>
    </row>
    <row r="44" spans="2:10" x14ac:dyDescent="0.35">
      <c r="B44" s="62" t="s">
        <v>168</v>
      </c>
      <c r="C44" s="62" t="str">
        <f>TEXT(C43-Analysis!C45,"$#,##0")&amp;" – "&amp;TEXT(C43+Analysis!C45,"$#,##0")</f>
        <v>$3,54,386 – $5,04,381</v>
      </c>
      <c r="F44" s="127" t="str">
        <f>Analysis!A37</f>
        <v>Agent commission (%)</v>
      </c>
      <c r="G44" s="127"/>
      <c r="H44" s="50">
        <f>Analysis!B37</f>
        <v>-0.18523086632234026</v>
      </c>
      <c r="I44" s="47" t="str">
        <f>Analysis!C37</f>
        <v>Negligible (neg.)</v>
      </c>
    </row>
    <row r="45" spans="2:10" x14ac:dyDescent="0.35">
      <c r="B45" s="38" t="s">
        <v>169</v>
      </c>
    </row>
  </sheetData>
  <mergeCells count="34">
    <mergeCell ref="F40:G40"/>
    <mergeCell ref="F41:G41"/>
    <mergeCell ref="F42:G42"/>
    <mergeCell ref="F43:G43"/>
    <mergeCell ref="F44:G44"/>
    <mergeCell ref="B28:M28"/>
    <mergeCell ref="F36:G36"/>
    <mergeCell ref="F37:G37"/>
    <mergeCell ref="F38:G38"/>
    <mergeCell ref="F39:G39"/>
    <mergeCell ref="I10:M12"/>
    <mergeCell ref="I13:M15"/>
    <mergeCell ref="I16:M18"/>
    <mergeCell ref="I19:M21"/>
    <mergeCell ref="I22:M24"/>
    <mergeCell ref="B7:D7"/>
    <mergeCell ref="E7:G7"/>
    <mergeCell ref="H7:J7"/>
    <mergeCell ref="K7:M7"/>
    <mergeCell ref="B9:G9"/>
    <mergeCell ref="I9:M9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C3:D3"/>
    <mergeCell ref="E3:F3"/>
    <mergeCell ref="G3:M3"/>
  </mergeCells>
  <conditionalFormatting sqref="F30:F34">
    <cfRule type="dataBar" priority="2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{B31F9E55-393C-47BE-B7C4-E6EB7572D851}</x14:id>
        </ext>
      </extLst>
    </cfRule>
  </conditionalFormatting>
  <conditionalFormatting sqref="H37:H44">
    <cfRule type="dataBar" priority="3">
      <dataBar>
        <cfvo type="num" val="-1"/>
        <cfvo type="num" val="1"/>
        <color rgb="FF2A9D8F"/>
      </dataBar>
      <extLst>
        <ext xmlns:x14="http://schemas.microsoft.com/office/spreadsheetml/2009/9/main" uri="{B025F937-C7B1-47D3-B67F-A62EFF666E3E}">
          <x14:id>{981568A8-F035-48ED-8DFE-AC4B2DB47F7E}</x14:id>
        </ext>
      </extLst>
    </cfRule>
  </conditionalFormatting>
  <hyperlinks>
    <hyperlink ref="B3" location="'Dashboard'!A1" display="◂ Back to Dashboard" xr:uid="{00000000-0004-0000-0600-000000000000}"/>
    <hyperlink ref="C3" location="'D5_Price_Distribution'!A1" display="◂ Previous graph" xr:uid="{00000000-0004-0000-0600-000001000000}"/>
    <hyperlink ref="E3" location="'D7_Condition'!A1" display="Next graph ▸" xr:uid="{00000000-0004-0000-0600-000002000000}"/>
  </hyperlink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1F9E55-393C-47BE-B7C4-E6EB7572D851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F30:F34</xm:sqref>
        </x14:conditionalFormatting>
        <x14:conditionalFormatting xmlns:xm="http://schemas.microsoft.com/office/excel/2006/main">
          <x14:cfRule type="dataBar" id="{981568A8-F035-48ED-8DFE-AC4B2DB47F7E}">
            <x14:dataBar axisPosition="none">
              <x14:cfvo type="num">
                <xm:f>-1</xm:f>
              </x14:cfvo>
              <x14:cfvo type="num">
                <xm:f>1</xm:f>
              </x14:cfvo>
              <x14:negativeFillColor rgb="FF2A9D8F"/>
            </x14:dataBar>
          </x14:cfRule>
          <xm:sqref>H37:H44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E9A23B"/>
    <pageSetUpPr fitToPage="1"/>
  </sheetPr>
  <dimension ref="B1:M35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1" customWidth="1"/>
    <col min="3" max="13" width="13" customWidth="1"/>
    <col min="14" max="14" width="2" customWidth="1"/>
  </cols>
  <sheetData>
    <row r="1" spans="2:13" ht="33.75" customHeight="1" x14ac:dyDescent="0.35">
      <c r="B1" s="112" t="s">
        <v>170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2:13" ht="18" customHeight="1" x14ac:dyDescent="0.35">
      <c r="B2" s="12" t="s">
        <v>171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21.75" customHeight="1" x14ac:dyDescent="0.35">
      <c r="B3" s="22" t="s">
        <v>36</v>
      </c>
      <c r="C3" s="111" t="s">
        <v>37</v>
      </c>
      <c r="D3" s="111"/>
      <c r="E3" s="111" t="s">
        <v>38</v>
      </c>
      <c r="F3" s="111"/>
      <c r="G3" s="113" t="s">
        <v>172</v>
      </c>
      <c r="H3" s="113"/>
      <c r="I3" s="113"/>
      <c r="J3" s="113"/>
      <c r="K3" s="113"/>
      <c r="L3" s="113"/>
      <c r="M3" s="113"/>
    </row>
    <row r="4" spans="2:13" ht="7.5" customHeight="1" x14ac:dyDescent="0.35"/>
    <row r="5" spans="2:13" ht="15.75" customHeight="1" x14ac:dyDescent="0.35">
      <c r="B5" s="9" t="s">
        <v>173</v>
      </c>
      <c r="C5" s="9"/>
      <c r="D5" s="9"/>
      <c r="E5" s="9" t="s">
        <v>174</v>
      </c>
      <c r="F5" s="9"/>
      <c r="G5" s="9"/>
      <c r="H5" s="9" t="s">
        <v>175</v>
      </c>
      <c r="I5" s="9"/>
      <c r="J5" s="9"/>
      <c r="K5" s="9" t="s">
        <v>176</v>
      </c>
      <c r="L5" s="9"/>
      <c r="M5" s="9"/>
    </row>
    <row r="6" spans="2:13" ht="30" customHeight="1" x14ac:dyDescent="0.35">
      <c r="B6" s="125">
        <f>E30/E33-1</f>
        <v>0.44406972023326197</v>
      </c>
      <c r="C6" s="125"/>
      <c r="D6" s="125"/>
      <c r="E6" s="125">
        <f>H30/H33-1</f>
        <v>0.38972627161114448</v>
      </c>
      <c r="F6" s="125"/>
      <c r="G6" s="125"/>
      <c r="H6" s="116">
        <f>I33-I30</f>
        <v>26.398360655737704</v>
      </c>
      <c r="I6" s="116"/>
      <c r="J6" s="116"/>
      <c r="K6" s="120" t="str">
        <f>INDEX($B$30:$B$33,MATCH(MAX($C$30:$C$33),$C$30:$C$33,0))</f>
        <v>Good</v>
      </c>
      <c r="L6" s="120"/>
      <c r="M6" s="120"/>
    </row>
    <row r="7" spans="2:13" ht="15.75" customHeight="1" x14ac:dyDescent="0.35">
      <c r="B7" s="3" t="str">
        <f>TEXT(E30,"$#,##0")&amp;" vs "&amp;TEXT(E33,"$#,##0")</f>
        <v>$4,58,952 vs $3,17,818</v>
      </c>
      <c r="C7" s="3"/>
      <c r="D7" s="3"/>
      <c r="E7" s="3" t="str">
        <f>"size-adjusted premium"</f>
        <v>size-adjusted premium</v>
      </c>
      <c r="F7" s="3"/>
      <c r="G7" s="3"/>
      <c r="H7" s="3" t="str">
        <f>"vs Poor-condition homes"</f>
        <v>vs Poor-condition homes</v>
      </c>
      <c r="I7" s="3"/>
      <c r="J7" s="3"/>
      <c r="K7" s="3" t="str">
        <f>TEXT(MAX($D$30:$D$33),"0%")&amp;" of sales"</f>
        <v>42% of sales</v>
      </c>
      <c r="L7" s="3"/>
      <c r="M7" s="3"/>
    </row>
    <row r="8" spans="2:13" ht="7.5" customHeight="1" x14ac:dyDescent="0.35"/>
    <row r="9" spans="2:13" x14ac:dyDescent="0.35">
      <c r="B9" s="117" t="s">
        <v>44</v>
      </c>
      <c r="C9" s="117"/>
      <c r="D9" s="117"/>
      <c r="E9" s="117"/>
      <c r="F9" s="117"/>
      <c r="G9" s="117"/>
      <c r="I9" s="117" t="s">
        <v>45</v>
      </c>
      <c r="J9" s="117"/>
      <c r="K9" s="117"/>
      <c r="L9" s="117"/>
      <c r="M9" s="117"/>
    </row>
    <row r="10" spans="2:13" x14ac:dyDescent="0.35">
      <c r="I10" s="118" t="str">
        <f>"Excellent homes average "&amp;TEXT(E30,"$#,##0")&amp;" vs "&amp;TEXT(E33,"$#,##0")&amp;" for Poor — a "&amp;TEXT(E30/E33-1,"0%")&amp;" gap."</f>
        <v>Excellent homes average $4,58,952 vs $3,17,818 for Poor — a 44% gap.</v>
      </c>
      <c r="J10" s="118"/>
      <c r="K10" s="118"/>
      <c r="L10" s="118"/>
      <c r="M10" s="118"/>
    </row>
    <row r="11" spans="2:13" x14ac:dyDescent="0.35">
      <c r="I11" s="118"/>
      <c r="J11" s="118"/>
      <c r="K11" s="118"/>
      <c r="L11" s="118"/>
      <c r="M11" s="118"/>
    </row>
    <row r="12" spans="2:13" x14ac:dyDescent="0.35">
      <c r="I12" s="118"/>
      <c r="J12" s="118"/>
      <c r="K12" s="118"/>
      <c r="L12" s="118"/>
      <c r="M12" s="118"/>
    </row>
    <row r="13" spans="2:13" x14ac:dyDescent="0.35">
      <c r="I13" s="119" t="str">
        <f>IF(G30&gt;1.05*G33,"Part of the gap is size: Excellent homes are bigger ("&amp;TEXT(G30,"#,##0")&amp;" vs "&amp;TEXT(G33,"#,##0")&amp;" sq ft); per sq ft the gap is "&amp;TEXT(H30/H33-1,"0%")&amp;".","Size does not explain it: Excellent homes average "&amp;TEXT(G30,"#,##0")&amp;" sq ft vs "&amp;TEXT(G33,"#,##0")&amp;" for Poor, and the per-sq-ft gap is still "&amp;TEXT(H30/H33-1,"0%")&amp;".")</f>
        <v>Size does not explain it: Excellent homes average 1,750 sq ft vs 1,762 for Poor, and the per-sq-ft gap is still 39%.</v>
      </c>
      <c r="J13" s="119"/>
      <c r="K13" s="119"/>
      <c r="L13" s="119"/>
      <c r="M13" s="119"/>
    </row>
    <row r="14" spans="2:13" x14ac:dyDescent="0.35">
      <c r="I14" s="119"/>
      <c r="J14" s="119"/>
      <c r="K14" s="119"/>
      <c r="L14" s="119"/>
      <c r="M14" s="119"/>
    </row>
    <row r="15" spans="2:13" x14ac:dyDescent="0.35">
      <c r="I15" s="119"/>
      <c r="J15" s="119"/>
      <c r="K15" s="119"/>
      <c r="L15" s="119"/>
      <c r="M15" s="119"/>
    </row>
    <row r="16" spans="2:13" x14ac:dyDescent="0.35">
      <c r="I16" s="118" t="str">
        <f>"Time on market: Excellent "&amp;TEXT(I30,"0")&amp;" days vs Poor "&amp;TEXT(I33,"0")&amp;" days."</f>
        <v>Time on market: Excellent 49 days vs Poor 75 days.</v>
      </c>
      <c r="J16" s="118"/>
      <c r="K16" s="118"/>
      <c r="L16" s="118"/>
      <c r="M16" s="118"/>
    </row>
    <row r="17" spans="2:13" x14ac:dyDescent="0.35">
      <c r="I17" s="118"/>
      <c r="J17" s="118"/>
      <c r="K17" s="118"/>
      <c r="L17" s="118"/>
      <c r="M17" s="118"/>
    </row>
    <row r="18" spans="2:13" x14ac:dyDescent="0.35">
      <c r="I18" s="118"/>
      <c r="J18" s="118"/>
      <c r="K18" s="118"/>
      <c r="L18" s="118"/>
      <c r="M18" s="118"/>
    </row>
    <row r="19" spans="2:13" x14ac:dyDescent="0.35">
      <c r="I19" s="119" t="str">
        <f>"Sale-to-list: "&amp;TEXT(J30,"0.0%")&amp;" (Excellent) vs "&amp;TEXT(J33,"0.0%")&amp;" (Poor)"&amp;IF(J30&gt;J33+0.005," — better-condition homes keep more of their asking price.",IF(J33&gt;J30+0.005," — poor-condition homes hold more of their asking price."," — virtually no difference in negotiating outcome."))</f>
        <v>Sale-to-list: 98.0% (Excellent) vs 98.1% (Poor) — virtually no difference in negotiating outcome.</v>
      </c>
      <c r="J19" s="119"/>
      <c r="K19" s="119"/>
      <c r="L19" s="119"/>
      <c r="M19" s="119"/>
    </row>
    <row r="20" spans="2:13" x14ac:dyDescent="0.35">
      <c r="I20" s="119"/>
      <c r="J20" s="119"/>
      <c r="K20" s="119"/>
      <c r="L20" s="119"/>
      <c r="M20" s="119"/>
    </row>
    <row r="21" spans="2:13" x14ac:dyDescent="0.35">
      <c r="I21" s="119"/>
      <c r="J21" s="119"/>
      <c r="K21" s="119"/>
      <c r="L21" s="119"/>
      <c r="M21" s="119"/>
    </row>
    <row r="22" spans="2:13" x14ac:dyDescent="0.35">
      <c r="I22" s="118" t="str">
        <f>"Poor-condition homes are only "&amp;TEXT(D33,"0.0%")&amp;" of sales (n = "&amp;C33&amp;") — treat with caution. "&amp;C34&amp;" homes have unknown condition."</f>
        <v>Poor-condition homes are only 4.4% of sales (n = 11) — treat with caution. 12 homes have unknown condition.</v>
      </c>
      <c r="J22" s="118"/>
      <c r="K22" s="118"/>
      <c r="L22" s="118"/>
      <c r="M22" s="118"/>
    </row>
    <row r="23" spans="2:13" x14ac:dyDescent="0.35">
      <c r="I23" s="118"/>
      <c r="J23" s="118"/>
      <c r="K23" s="118"/>
      <c r="L23" s="118"/>
      <c r="M23" s="118"/>
    </row>
    <row r="24" spans="2:13" x14ac:dyDescent="0.35">
      <c r="I24" s="118"/>
      <c r="J24" s="118"/>
      <c r="K24" s="118"/>
      <c r="L24" s="118"/>
      <c r="M24" s="118"/>
    </row>
    <row r="28" spans="2:13" x14ac:dyDescent="0.35">
      <c r="B28" s="117" t="s">
        <v>46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</row>
    <row r="29" spans="2:13" ht="30" customHeight="1" x14ac:dyDescent="0.35">
      <c r="B29" s="23" t="s">
        <v>177</v>
      </c>
      <c r="C29" s="24" t="s">
        <v>48</v>
      </c>
      <c r="D29" s="24" t="s">
        <v>67</v>
      </c>
      <c r="E29" s="24" t="s">
        <v>50</v>
      </c>
      <c r="F29" s="24" t="s">
        <v>51</v>
      </c>
      <c r="G29" s="24" t="s">
        <v>70</v>
      </c>
      <c r="H29" s="24" t="s">
        <v>69</v>
      </c>
      <c r="I29" s="24" t="s">
        <v>99</v>
      </c>
      <c r="J29" s="24" t="s">
        <v>53</v>
      </c>
      <c r="K29" s="24" t="s">
        <v>101</v>
      </c>
    </row>
    <row r="30" spans="2:13" x14ac:dyDescent="0.35">
      <c r="B30" s="39" t="s">
        <v>178</v>
      </c>
      <c r="C30" s="26">
        <f>COUNTIFS(d_cond,$B30)</f>
        <v>62</v>
      </c>
      <c r="D30" s="29">
        <f t="shared" ref="D30:D35" si="0">C30/C$35</f>
        <v>0.248</v>
      </c>
      <c r="E30" s="27">
        <f>IFERROR(AVERAGEIFS(d_price,d_cond,$B30),"")</f>
        <v>458951.61290322582</v>
      </c>
      <c r="F30" s="27">
        <f t="array" ref="F30">IFERROR(MEDIAN(IF(d_cond=$B30,d_price)),"")</f>
        <v>405000</v>
      </c>
      <c r="G30" s="40">
        <f>IFERROR(AVERAGEIFS(d_sqft,d_cond,$B30),"")</f>
        <v>1750</v>
      </c>
      <c r="H30" s="27">
        <f>IFERROR(AVERAGEIFS(d_psf,d_cond,$B30),"")</f>
        <v>252.55274277205891</v>
      </c>
      <c r="I30" s="28">
        <f>IFERROR(AVERAGEIFS(d_dom,d_cond,$B30),"")</f>
        <v>48.901639344262293</v>
      </c>
      <c r="J30" s="29">
        <f>IFERROR(AVERAGEIFS(d_stl,d_cond,$B30),"")</f>
        <v>0.97978706541857297</v>
      </c>
      <c r="K30" s="29">
        <f>IFERROR(COUNTIFS(d_cond,$B30,d_stl,"&gt;1")/COUNTIFS(d_cond,$B30),"")</f>
        <v>0.22580645161290322</v>
      </c>
    </row>
    <row r="31" spans="2:13" x14ac:dyDescent="0.35">
      <c r="B31" s="39" t="s">
        <v>179</v>
      </c>
      <c r="C31" s="26">
        <f>COUNTIFS(d_cond,$B31)</f>
        <v>105</v>
      </c>
      <c r="D31" s="29">
        <f t="shared" si="0"/>
        <v>0.42</v>
      </c>
      <c r="E31" s="27">
        <f>IFERROR(AVERAGEIFS(d_price,d_cond,$B31),"")</f>
        <v>372628.57142857142</v>
      </c>
      <c r="F31" s="27">
        <f t="array" ref="F31">IFERROR(MEDIAN(IF(d_cond=$B31,d_price)),"")</f>
        <v>364000</v>
      </c>
      <c r="G31" s="40">
        <f>IFERROR(AVERAGEIFS(d_sqft,d_cond,$B31),"")</f>
        <v>1710.952380952381</v>
      </c>
      <c r="H31" s="27">
        <f>IFERROR(AVERAGEIFS(d_psf,d_cond,$B31),"")</f>
        <v>222.75656340102032</v>
      </c>
      <c r="I31" s="28">
        <f>IFERROR(AVERAGEIFS(d_dom,d_cond,$B31),"")</f>
        <v>52.128712871287128</v>
      </c>
      <c r="J31" s="29">
        <f>IFERROR(AVERAGEIFS(d_stl,d_cond,$B31),"")</f>
        <v>0.97112013207307168</v>
      </c>
      <c r="K31" s="29">
        <f>IFERROR(COUNTIFS(d_cond,$B31,d_stl,"&gt;1")/COUNTIFS(d_cond,$B31),"")</f>
        <v>0.16190476190476191</v>
      </c>
    </row>
    <row r="32" spans="2:13" x14ac:dyDescent="0.35">
      <c r="B32" s="39" t="s">
        <v>180</v>
      </c>
      <c r="C32" s="26">
        <f>COUNTIFS(d_cond,$B32)</f>
        <v>60</v>
      </c>
      <c r="D32" s="29">
        <f t="shared" si="0"/>
        <v>0.24</v>
      </c>
      <c r="E32" s="27">
        <f>IFERROR(AVERAGEIFS(d_price,d_cond,$B32),"")</f>
        <v>360083.33333333331</v>
      </c>
      <c r="F32" s="27">
        <f t="array" ref="F32">IFERROR(MEDIAN(IF(d_cond=$B32,d_price)),"")</f>
        <v>346000</v>
      </c>
      <c r="G32" s="40">
        <f>IFERROR(AVERAGEIFS(d_sqft,d_cond,$B32),"")</f>
        <v>1703.5</v>
      </c>
      <c r="H32" s="27">
        <f>IFERROR(AVERAGEIFS(d_psf,d_cond,$B32),"")</f>
        <v>212.47925790225403</v>
      </c>
      <c r="I32" s="28">
        <f>IFERROR(AVERAGEIFS(d_dom,d_cond,$B32),"")</f>
        <v>72.396551724137936</v>
      </c>
      <c r="J32" s="29">
        <f>IFERROR(AVERAGEIFS(d_stl,d_cond,$B32),"")</f>
        <v>0.97609542323054421</v>
      </c>
      <c r="K32" s="29">
        <f>IFERROR(COUNTIFS(d_cond,$B32,d_stl,"&gt;1")/COUNTIFS(d_cond,$B32),"")</f>
        <v>0.2</v>
      </c>
    </row>
    <row r="33" spans="2:11" x14ac:dyDescent="0.35">
      <c r="B33" s="39" t="s">
        <v>181</v>
      </c>
      <c r="C33" s="26">
        <f>COUNTIFS(d_cond,$B33)</f>
        <v>11</v>
      </c>
      <c r="D33" s="29">
        <f t="shared" si="0"/>
        <v>4.3999999999999997E-2</v>
      </c>
      <c r="E33" s="27">
        <f>IFERROR(AVERAGEIFS(d_price,d_cond,$B33),"")</f>
        <v>317818.18181818182</v>
      </c>
      <c r="F33" s="27">
        <f t="array" ref="F33">IFERROR(MEDIAN(IF(d_cond=$B33,d_price)),"")</f>
        <v>315000</v>
      </c>
      <c r="G33" s="40">
        <f>IFERROR(AVERAGEIFS(d_sqft,d_cond,$B33),"")</f>
        <v>1761.8181818181818</v>
      </c>
      <c r="H33" s="27">
        <f>IFERROR(AVERAGEIFS(d_psf,d_cond,$B33),"")</f>
        <v>181.72840791105443</v>
      </c>
      <c r="I33" s="28">
        <f>IFERROR(AVERAGEIFS(d_dom,d_cond,$B33),"")</f>
        <v>75.3</v>
      </c>
      <c r="J33" s="29">
        <f>IFERROR(AVERAGEIFS(d_stl,d_cond,$B33),"")</f>
        <v>0.98119220844914323</v>
      </c>
      <c r="K33" s="29">
        <f>IFERROR(COUNTIFS(d_cond,$B33,d_stl,"&gt;1")/COUNTIFS(d_cond,$B33),"")</f>
        <v>0.36363636363636365</v>
      </c>
    </row>
    <row r="34" spans="2:11" x14ac:dyDescent="0.35">
      <c r="B34" s="39" t="s">
        <v>182</v>
      </c>
      <c r="C34" s="26">
        <f>COUNTIFS(d_cond,$B34)</f>
        <v>12</v>
      </c>
      <c r="D34" s="29">
        <f t="shared" si="0"/>
        <v>4.8000000000000001E-2</v>
      </c>
      <c r="E34" s="27">
        <f>IFERROR(AVERAGEIFS(d_price,d_cond,$B34),"")</f>
        <v>409833.33333333331</v>
      </c>
      <c r="F34" s="27">
        <f t="array" ref="F34">IFERROR(MEDIAN(IF(d_cond=$B34,d_price)),"")</f>
        <v>427500</v>
      </c>
      <c r="G34" s="40">
        <f>IFERROR(AVERAGEIFS(d_sqft,d_cond,$B34),"")</f>
        <v>1835</v>
      </c>
      <c r="H34" s="27">
        <f>IFERROR(AVERAGEIFS(d_psf,d_cond,$B34),"")</f>
        <v>223.38363575247004</v>
      </c>
      <c r="I34" s="28">
        <f>IFERROR(AVERAGEIFS(d_dom,d_cond,$B34),"")</f>
        <v>57</v>
      </c>
      <c r="J34" s="29">
        <f>IFERROR(AVERAGEIFS(d_stl,d_cond,$B34),"")</f>
        <v>0.97126045008884299</v>
      </c>
      <c r="K34" s="29">
        <f>IFERROR(COUNTIFS(d_cond,$B34,d_stl,"&gt;1")/COUNTIFS(d_cond,$B34),"")</f>
        <v>8.3333333333333329E-2</v>
      </c>
    </row>
    <row r="35" spans="2:11" x14ac:dyDescent="0.35">
      <c r="B35" s="41" t="s">
        <v>77</v>
      </c>
      <c r="C35" s="33">
        <f>COUNT(d_price)</f>
        <v>250</v>
      </c>
      <c r="D35" s="36">
        <f t="shared" si="0"/>
        <v>1</v>
      </c>
      <c r="E35" s="34">
        <f>AVERAGE(d_price)</f>
        <v>390400</v>
      </c>
      <c r="F35" s="34">
        <f>MEDIAN(d_price)</f>
        <v>366000</v>
      </c>
      <c r="G35" s="44">
        <f>AVERAGE(d_sqft)</f>
        <v>1727.04</v>
      </c>
      <c r="H35" s="34">
        <f>AVERAGE(d_psf)</f>
        <v>225.90432319664487</v>
      </c>
      <c r="I35" s="35">
        <f>AVERAGE(d_dom)</f>
        <v>57.371900826446279</v>
      </c>
      <c r="J35" s="36">
        <f>AVERAGE(d_stl)</f>
        <v>0.97491350804585453</v>
      </c>
      <c r="K35" s="36">
        <f>COUNTIF(d_stl,"&gt;1")/COUNT(d_stl)</f>
        <v>0.192</v>
      </c>
    </row>
  </sheetData>
  <mergeCells count="25">
    <mergeCell ref="B28:M28"/>
    <mergeCell ref="I10:M12"/>
    <mergeCell ref="I13:M15"/>
    <mergeCell ref="I16:M18"/>
    <mergeCell ref="I19:M21"/>
    <mergeCell ref="I22:M24"/>
    <mergeCell ref="B7:D7"/>
    <mergeCell ref="E7:G7"/>
    <mergeCell ref="H7:J7"/>
    <mergeCell ref="K7:M7"/>
    <mergeCell ref="B9:G9"/>
    <mergeCell ref="I9:M9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C3:D3"/>
    <mergeCell ref="E3:F3"/>
    <mergeCell ref="G3:M3"/>
  </mergeCells>
  <hyperlinks>
    <hyperlink ref="B3" location="'Dashboard'!A1" display="◂ Back to Dashboard" xr:uid="{00000000-0004-0000-0700-000000000000}"/>
    <hyperlink ref="C3" location="'D6_Size_vs_Price'!A1" display="◂ Previous graph" xr:uid="{00000000-0004-0000-0700-000001000000}"/>
    <hyperlink ref="E3" location="'D8_Bedrooms'!A1" display="Next graph ▸" xr:uid="{00000000-0004-0000-0700-000002000000}"/>
  </hyperlinks>
  <pageMargins left="0.75" right="0.75" top="1" bottom="1" header="0.511811023622047" footer="0.511811023622047"/>
  <pageSetup fitToHeight="0" orientation="landscape" horizontalDpi="300" verticalDpi="30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E9A23B"/>
    <pageSetUpPr fitToPage="1"/>
  </sheetPr>
  <dimension ref="B1:M37"/>
  <sheetViews>
    <sheetView showGridLines="0" zoomScaleNormal="100" workbookViewId="0"/>
  </sheetViews>
  <sheetFormatPr defaultColWidth="8.6328125" defaultRowHeight="14.5" x14ac:dyDescent="0.35"/>
  <cols>
    <col min="1" max="1" width="2" customWidth="1"/>
    <col min="2" max="2" width="21" customWidth="1"/>
    <col min="3" max="13" width="13" customWidth="1"/>
    <col min="14" max="14" width="2" customWidth="1"/>
  </cols>
  <sheetData>
    <row r="1" spans="2:13" ht="33.75" customHeight="1" x14ac:dyDescent="0.35">
      <c r="B1" s="112" t="s">
        <v>183</v>
      </c>
      <c r="C1" s="112"/>
      <c r="D1" s="112"/>
      <c r="E1" s="112"/>
      <c r="F1" s="112"/>
      <c r="G1" s="112"/>
      <c r="H1" s="112"/>
      <c r="I1" s="112"/>
      <c r="J1" s="112"/>
      <c r="K1" s="112"/>
      <c r="L1" s="112"/>
      <c r="M1" s="112"/>
    </row>
    <row r="2" spans="2:13" ht="18" customHeight="1" x14ac:dyDescent="0.35">
      <c r="B2" s="12" t="s">
        <v>184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21.75" customHeight="1" x14ac:dyDescent="0.35">
      <c r="B3" s="22" t="s">
        <v>36</v>
      </c>
      <c r="C3" s="111" t="s">
        <v>37</v>
      </c>
      <c r="D3" s="111"/>
      <c r="E3" s="111" t="s">
        <v>38</v>
      </c>
      <c r="F3" s="111"/>
      <c r="G3" s="113" t="s">
        <v>185</v>
      </c>
      <c r="H3" s="113"/>
      <c r="I3" s="113"/>
      <c r="J3" s="113"/>
      <c r="K3" s="113"/>
      <c r="L3" s="113"/>
      <c r="M3" s="113"/>
    </row>
    <row r="4" spans="2:13" ht="7.5" customHeight="1" x14ac:dyDescent="0.35"/>
    <row r="5" spans="2:13" ht="15.75" customHeight="1" x14ac:dyDescent="0.35">
      <c r="B5" s="9" t="s">
        <v>186</v>
      </c>
      <c r="C5" s="9"/>
      <c r="D5" s="9"/>
      <c r="E5" s="9" t="s">
        <v>187</v>
      </c>
      <c r="F5" s="9"/>
      <c r="G5" s="9"/>
      <c r="H5" s="9" t="s">
        <v>188</v>
      </c>
      <c r="I5" s="9"/>
      <c r="J5" s="9"/>
      <c r="K5" s="9" t="s">
        <v>189</v>
      </c>
      <c r="L5" s="9"/>
      <c r="M5" s="9"/>
    </row>
    <row r="6" spans="2:13" ht="30" customHeight="1" x14ac:dyDescent="0.35">
      <c r="B6" s="120" t="str">
        <f>INDEX($B$30:$B$35,MATCH(MAX($C$30:$C$35),$C$30:$C$35,0))&amp;" bedrooms"</f>
        <v>3 bedrooms</v>
      </c>
      <c r="C6" s="120"/>
      <c r="D6" s="120"/>
      <c r="E6" s="122">
        <f>AVERAGE(K31:K34)</f>
        <v>85794.612794612796</v>
      </c>
      <c r="F6" s="122"/>
      <c r="G6" s="122"/>
      <c r="H6" s="125">
        <f>E34/E32-1</f>
        <v>0.48625952451776766</v>
      </c>
      <c r="I6" s="125"/>
      <c r="J6" s="125"/>
      <c r="K6" s="128">
        <f>AVERAGE(d_beds)</f>
        <v>2.988</v>
      </c>
      <c r="L6" s="128"/>
      <c r="M6" s="128"/>
    </row>
    <row r="7" spans="2:13" ht="15.75" customHeight="1" x14ac:dyDescent="0.35">
      <c r="B7" s="3" t="str">
        <f>MAX($C$30:$C$35)&amp;" homes ("&amp;TEXT(MAX($D$30:$D$35),"0%")&amp;")"</f>
        <v>94 homes (38%)</v>
      </c>
      <c r="C7" s="3"/>
      <c r="D7" s="3"/>
      <c r="E7" s="3" t="str">
        <f>"average, 1 → 5 bedrooms"</f>
        <v>average, 1 → 5 bedrooms</v>
      </c>
      <c r="F7" s="3"/>
      <c r="G7" s="3"/>
      <c r="H7" s="3" t="str">
        <f>TEXT(E34,"$#,##0")&amp;" vs "&amp;TEXT(E32,"$#,##0")</f>
        <v>$5,65,364 vs $3,80,394</v>
      </c>
      <c r="I7" s="3"/>
      <c r="J7" s="3"/>
      <c r="K7" s="3" t="str">
        <f>"bedrooms per home"</f>
        <v>bedrooms per home</v>
      </c>
      <c r="L7" s="3"/>
      <c r="M7" s="3"/>
    </row>
    <row r="8" spans="2:13" ht="7.5" customHeight="1" x14ac:dyDescent="0.35"/>
    <row r="9" spans="2:13" x14ac:dyDescent="0.35">
      <c r="B9" s="117" t="s">
        <v>44</v>
      </c>
      <c r="C9" s="117"/>
      <c r="D9" s="117"/>
      <c r="E9" s="117"/>
      <c r="F9" s="117"/>
      <c r="G9" s="117"/>
      <c r="I9" s="117" t="s">
        <v>45</v>
      </c>
      <c r="J9" s="117"/>
      <c r="K9" s="117"/>
      <c r="L9" s="117"/>
      <c r="M9" s="117"/>
    </row>
    <row r="10" spans="2:13" x14ac:dyDescent="0.35">
      <c r="I10" s="118" t="str">
        <f>"Most homes have "&amp;INDEX($B$30:$B$35,MATCH(MAX($C$30:$C$35),$C$30:$C$35,0))&amp;" bedrooms ("&amp;TEXT(MAX($D$30:$D$35),"0%")&amp;" of sales)."</f>
        <v>Most homes have 3 bedrooms (38% of sales).</v>
      </c>
      <c r="J10" s="118"/>
      <c r="K10" s="118"/>
      <c r="L10" s="118"/>
      <c r="M10" s="118"/>
    </row>
    <row r="11" spans="2:13" x14ac:dyDescent="0.35">
      <c r="I11" s="118"/>
      <c r="J11" s="118"/>
      <c r="K11" s="118"/>
      <c r="L11" s="118"/>
      <c r="M11" s="118"/>
    </row>
    <row r="12" spans="2:13" x14ac:dyDescent="0.35">
      <c r="I12" s="118"/>
      <c r="J12" s="118"/>
      <c r="K12" s="118"/>
      <c r="L12" s="118"/>
      <c r="M12" s="118"/>
    </row>
    <row r="13" spans="2:13" x14ac:dyDescent="0.35">
      <c r="I13" s="119" t="str">
        <f>"Each extra bedroom adds ≈ "&amp;TEXT(AVERAGE(K31:K34),"$#,##0")&amp;" on average (1 → 5 BR)."</f>
        <v>Each extra bedroom adds ≈ $85,795 on average (1 → 5 BR).</v>
      </c>
      <c r="J13" s="119"/>
      <c r="K13" s="119"/>
      <c r="L13" s="119"/>
      <c r="M13" s="119"/>
    </row>
    <row r="14" spans="2:13" x14ac:dyDescent="0.35">
      <c r="I14" s="119"/>
      <c r="J14" s="119"/>
      <c r="K14" s="119"/>
      <c r="L14" s="119"/>
      <c r="M14" s="119"/>
    </row>
    <row r="15" spans="2:13" x14ac:dyDescent="0.35">
      <c r="I15" s="119"/>
      <c r="J15" s="119"/>
      <c r="K15" s="119"/>
      <c r="L15" s="119"/>
      <c r="M15" s="119"/>
    </row>
    <row r="16" spans="2:13" x14ac:dyDescent="0.35">
      <c r="I16" s="118" t="str">
        <f>"Living area grows from "&amp;TEXT(G30,"#,##0")&amp;" sq ft (1 BR) to "&amp;TEXT(G34,"#,##0")&amp;" sq ft (5 BR), so part of the step is simply more space."</f>
        <v>Living area grows from 870 sq ft (1 BR) to 2,576 sq ft (5 BR), so part of the step is simply more space.</v>
      </c>
      <c r="J16" s="118"/>
      <c r="K16" s="118"/>
      <c r="L16" s="118"/>
      <c r="M16" s="118"/>
    </row>
    <row r="17" spans="2:13" x14ac:dyDescent="0.35">
      <c r="I17" s="118"/>
      <c r="J17" s="118"/>
      <c r="K17" s="118"/>
      <c r="L17" s="118"/>
      <c r="M17" s="118"/>
    </row>
    <row r="18" spans="2:13" x14ac:dyDescent="0.35">
      <c r="I18" s="118"/>
      <c r="J18" s="118"/>
      <c r="K18" s="118"/>
      <c r="L18" s="118"/>
      <c r="M18" s="118"/>
    </row>
    <row r="19" spans="2:13" x14ac:dyDescent="0.35">
      <c r="I19" s="119" t="str">
        <f>"Price per sq ft "&amp;IF(H34&gt;H30,"rises","falls")&amp;" from "&amp;TEXT(H30,"$#,##0")&amp;" (1 BR) to "&amp;TEXT(H34,"$#,##0")&amp;" (5 BR)."</f>
        <v>Price per sq ft falls from $252 (1 BR) to $220 (5 BR).</v>
      </c>
      <c r="J19" s="119"/>
      <c r="K19" s="119"/>
      <c r="L19" s="119"/>
      <c r="M19" s="119"/>
    </row>
    <row r="20" spans="2:13" x14ac:dyDescent="0.35">
      <c r="I20" s="119"/>
      <c r="J20" s="119"/>
      <c r="K20" s="119"/>
      <c r="L20" s="119"/>
      <c r="M20" s="119"/>
    </row>
    <row r="21" spans="2:13" x14ac:dyDescent="0.35">
      <c r="I21" s="119"/>
      <c r="J21" s="119"/>
      <c r="K21" s="119"/>
      <c r="L21" s="119"/>
      <c r="M21" s="119"/>
    </row>
    <row r="22" spans="2:13" x14ac:dyDescent="0.35">
      <c r="I22" s="118" t="str">
        <f>"Bathrooms rise from "&amp;TEXT(I30,"0.0")&amp;" (1 BR) to "&amp;TEXT(I34,"0.0")&amp;" (5 BR); the 6-BR row is a single sale ("&amp;TEXT(E35,"$#,##0")&amp;")."</f>
        <v>Bathrooms rise from 1.2 (1 BR) to 3.7 (5 BR); the 6-BR row is a single sale ($33,10,000).</v>
      </c>
      <c r="J22" s="118"/>
      <c r="K22" s="118"/>
      <c r="L22" s="118"/>
      <c r="M22" s="118"/>
    </row>
    <row r="23" spans="2:13" x14ac:dyDescent="0.35">
      <c r="I23" s="118"/>
      <c r="J23" s="118"/>
      <c r="K23" s="118"/>
      <c r="L23" s="118"/>
      <c r="M23" s="118"/>
    </row>
    <row r="24" spans="2:13" x14ac:dyDescent="0.35">
      <c r="I24" s="118"/>
      <c r="J24" s="118"/>
      <c r="K24" s="118"/>
      <c r="L24" s="118"/>
      <c r="M24" s="118"/>
    </row>
    <row r="28" spans="2:13" x14ac:dyDescent="0.35">
      <c r="B28" s="117" t="s">
        <v>46</v>
      </c>
      <c r="C28" s="117"/>
      <c r="D28" s="117"/>
      <c r="E28" s="117"/>
      <c r="F28" s="117"/>
      <c r="G28" s="117"/>
      <c r="H28" s="117"/>
      <c r="I28" s="117"/>
      <c r="J28" s="117"/>
      <c r="K28" s="117"/>
      <c r="L28" s="117"/>
      <c r="M28" s="117"/>
    </row>
    <row r="29" spans="2:13" ht="30" customHeight="1" x14ac:dyDescent="0.35">
      <c r="B29" s="23" t="s">
        <v>190</v>
      </c>
      <c r="C29" s="24" t="s">
        <v>48</v>
      </c>
      <c r="D29" s="24" t="s">
        <v>67</v>
      </c>
      <c r="E29" s="24" t="s">
        <v>50</v>
      </c>
      <c r="F29" s="24" t="s">
        <v>51</v>
      </c>
      <c r="G29" s="24" t="s">
        <v>70</v>
      </c>
      <c r="H29" s="24" t="s">
        <v>69</v>
      </c>
      <c r="I29" s="24" t="s">
        <v>191</v>
      </c>
      <c r="J29" s="24" t="s">
        <v>99</v>
      </c>
      <c r="K29" s="24" t="s">
        <v>192</v>
      </c>
      <c r="L29" s="24" t="s">
        <v>193</v>
      </c>
    </row>
    <row r="30" spans="2:13" x14ac:dyDescent="0.35">
      <c r="B30" s="39">
        <v>1</v>
      </c>
      <c r="C30" s="26">
        <f t="shared" ref="C30:C35" si="0">COUNTIFS(d_beds,$B30)</f>
        <v>27</v>
      </c>
      <c r="D30" s="29">
        <f t="shared" ref="D30:D36" si="1">C30/C$36</f>
        <v>0.108</v>
      </c>
      <c r="E30" s="27">
        <f t="shared" ref="E30:E35" si="2">IFERROR(AVERAGEIFS(d_price,d_beds,$B30),"")</f>
        <v>222185.1851851852</v>
      </c>
      <c r="F30" s="27">
        <f t="array" ref="F30">IFERROR(MEDIAN(IF(d_beds=$B30,d_price)),"")</f>
        <v>199000</v>
      </c>
      <c r="G30" s="40">
        <f t="shared" ref="G30:G35" si="3">IFERROR(AVERAGEIFS(d_sqft,d_beds,$B30),"")</f>
        <v>869.62962962962968</v>
      </c>
      <c r="H30" s="27">
        <f t="shared" ref="H30:H35" si="4">IFERROR(AVERAGEIFS(d_psf,d_beds,$B30),"")</f>
        <v>252.12408492702531</v>
      </c>
      <c r="I30" s="28">
        <f t="shared" ref="I30:I35" si="5">IFERROR(AVERAGEIFS(d_baths,d_beds,$B30),"")</f>
        <v>1.2037037037037037</v>
      </c>
      <c r="J30" s="28">
        <f t="shared" ref="J30:J35" si="6">IFERROR(AVERAGEIFS(d_dom,d_beds,$B30),"")</f>
        <v>63.555555555555557</v>
      </c>
      <c r="K30" s="31" t="s">
        <v>58</v>
      </c>
      <c r="L30" s="30" t="s">
        <v>58</v>
      </c>
    </row>
    <row r="31" spans="2:13" x14ac:dyDescent="0.35">
      <c r="B31" s="39">
        <v>2</v>
      </c>
      <c r="C31" s="26">
        <f t="shared" si="0"/>
        <v>51</v>
      </c>
      <c r="D31" s="29">
        <f t="shared" si="1"/>
        <v>0.20399999999999999</v>
      </c>
      <c r="E31" s="27">
        <f t="shared" si="2"/>
        <v>302431.37254901958</v>
      </c>
      <c r="F31" s="27">
        <f t="array" ref="F31">IFERROR(MEDIAN(IF(d_beds=$B31,d_price)),"")</f>
        <v>301000</v>
      </c>
      <c r="G31" s="40">
        <f t="shared" si="3"/>
        <v>1301.5686274509803</v>
      </c>
      <c r="H31" s="27">
        <f t="shared" si="4"/>
        <v>233.88434670991566</v>
      </c>
      <c r="I31" s="28">
        <f t="shared" si="5"/>
        <v>1.7058823529411764</v>
      </c>
      <c r="J31" s="28">
        <f t="shared" si="6"/>
        <v>57.795918367346935</v>
      </c>
      <c r="K31" s="31">
        <f>IFERROR(E31-E30,"")</f>
        <v>80246.187363834382</v>
      </c>
      <c r="L31" s="30">
        <f>IFERROR(E31/E30-1,"")</f>
        <v>0.36116803781022311</v>
      </c>
    </row>
    <row r="32" spans="2:13" x14ac:dyDescent="0.35">
      <c r="B32" s="39">
        <v>3</v>
      </c>
      <c r="C32" s="26">
        <f t="shared" si="0"/>
        <v>94</v>
      </c>
      <c r="D32" s="29">
        <f t="shared" si="1"/>
        <v>0.376</v>
      </c>
      <c r="E32" s="27">
        <f t="shared" si="2"/>
        <v>380393.61702127662</v>
      </c>
      <c r="F32" s="27">
        <f t="array" ref="F32">IFERROR(MEDIAN(IF(d_beds=$B32,d_price)),"")</f>
        <v>372000</v>
      </c>
      <c r="G32" s="40">
        <f t="shared" si="3"/>
        <v>1727.6595744680851</v>
      </c>
      <c r="H32" s="27">
        <f t="shared" si="4"/>
        <v>220.3243122173059</v>
      </c>
      <c r="I32" s="28">
        <f t="shared" si="5"/>
        <v>2.4468085106382977</v>
      </c>
      <c r="J32" s="28">
        <f t="shared" si="6"/>
        <v>59.133333333333333</v>
      </c>
      <c r="K32" s="31">
        <f>IFERROR(E32-E31,"")</f>
        <v>77962.244472257036</v>
      </c>
      <c r="L32" s="30">
        <f>IFERROR(E32/E31-1,"")</f>
        <v>0.25778491105323575</v>
      </c>
    </row>
    <row r="33" spans="2:12" x14ac:dyDescent="0.35">
      <c r="B33" s="39">
        <v>4</v>
      </c>
      <c r="C33" s="26">
        <f t="shared" si="0"/>
        <v>55</v>
      </c>
      <c r="D33" s="29">
        <f t="shared" si="1"/>
        <v>0.22</v>
      </c>
      <c r="E33" s="27">
        <f t="shared" si="2"/>
        <v>448581.81818181818</v>
      </c>
      <c r="F33" s="27">
        <f t="array" ref="F33">IFERROR(MEDIAN(IF(d_beds=$B33,d_price)),"")</f>
        <v>444000</v>
      </c>
      <c r="G33" s="40">
        <f t="shared" si="3"/>
        <v>2116.7272727272725</v>
      </c>
      <c r="H33" s="27">
        <f t="shared" si="4"/>
        <v>212.24755125968719</v>
      </c>
      <c r="I33" s="28">
        <f t="shared" si="5"/>
        <v>3.0272727272727273</v>
      </c>
      <c r="J33" s="28">
        <f t="shared" si="6"/>
        <v>53.111111111111114</v>
      </c>
      <c r="K33" s="31">
        <f>IFERROR(E33-E32,"")</f>
        <v>68188.201160541561</v>
      </c>
      <c r="L33" s="30">
        <f>IFERROR(E33/E32-1,"")</f>
        <v>0.17925695413739695</v>
      </c>
    </row>
    <row r="34" spans="2:12" x14ac:dyDescent="0.35">
      <c r="B34" s="39">
        <v>5</v>
      </c>
      <c r="C34" s="26">
        <f t="shared" si="0"/>
        <v>22</v>
      </c>
      <c r="D34" s="29">
        <f t="shared" si="1"/>
        <v>8.7999999999999995E-2</v>
      </c>
      <c r="E34" s="27">
        <f t="shared" si="2"/>
        <v>565363.63636363635</v>
      </c>
      <c r="F34" s="27">
        <f t="array" ref="F34">IFERROR(MEDIAN(IF(d_beds=$B34,d_price)),"")</f>
        <v>541000</v>
      </c>
      <c r="G34" s="40">
        <f t="shared" si="3"/>
        <v>2576.3636363636365</v>
      </c>
      <c r="H34" s="27">
        <f t="shared" si="4"/>
        <v>219.9700298280155</v>
      </c>
      <c r="I34" s="28">
        <f t="shared" si="5"/>
        <v>3.7045454545454546</v>
      </c>
      <c r="J34" s="28">
        <f t="shared" si="6"/>
        <v>51.666666666666664</v>
      </c>
      <c r="K34" s="31">
        <f>IFERROR(E34-E33,"")</f>
        <v>116781.81818181818</v>
      </c>
      <c r="L34" s="30">
        <f>IFERROR(E34/E33-1,"")</f>
        <v>0.26033560311284054</v>
      </c>
    </row>
    <row r="35" spans="2:12" x14ac:dyDescent="0.35">
      <c r="B35" s="39">
        <v>6</v>
      </c>
      <c r="C35" s="26">
        <f t="shared" si="0"/>
        <v>1</v>
      </c>
      <c r="D35" s="29">
        <f t="shared" si="1"/>
        <v>4.0000000000000001E-3</v>
      </c>
      <c r="E35" s="27">
        <f t="shared" si="2"/>
        <v>3310000</v>
      </c>
      <c r="F35" s="27">
        <f t="array" ref="F35">IFERROR(MEDIAN(IF(d_beds=$B35,d_price)),"")</f>
        <v>3310000</v>
      </c>
      <c r="G35" s="40">
        <f t="shared" si="3"/>
        <v>6400</v>
      </c>
      <c r="H35" s="27">
        <f t="shared" si="4"/>
        <v>517.1875</v>
      </c>
      <c r="I35" s="28">
        <f t="shared" si="5"/>
        <v>5.5</v>
      </c>
      <c r="J35" s="28">
        <f t="shared" si="6"/>
        <v>61</v>
      </c>
      <c r="K35" s="31">
        <f>IFERROR(E35-E34,"")</f>
        <v>2744636.3636363638</v>
      </c>
      <c r="L35" s="30">
        <f>IFERROR(E35/E34-1,"")</f>
        <v>4.8546390094870562</v>
      </c>
    </row>
    <row r="36" spans="2:12" x14ac:dyDescent="0.35">
      <c r="B36" s="41" t="s">
        <v>77</v>
      </c>
      <c r="C36" s="33">
        <f>COUNT(d_price)</f>
        <v>250</v>
      </c>
      <c r="D36" s="36">
        <f t="shared" si="1"/>
        <v>1</v>
      </c>
      <c r="E36" s="34">
        <f>AVERAGE(d_price)</f>
        <v>390400</v>
      </c>
      <c r="F36" s="34">
        <f>MEDIAN(d_price)</f>
        <v>366000</v>
      </c>
      <c r="G36" s="44">
        <f>AVERAGE(d_sqft)</f>
        <v>1727.04</v>
      </c>
      <c r="H36" s="34">
        <f>AVERAGE(d_psf)</f>
        <v>225.90432319664487</v>
      </c>
      <c r="I36" s="35">
        <f>AVERAGE(d_baths)</f>
        <v>2.4119999999999999</v>
      </c>
      <c r="J36" s="35">
        <f>AVERAGE(d_dom)</f>
        <v>57.371900826446279</v>
      </c>
      <c r="K36" s="42" t="s">
        <v>58</v>
      </c>
      <c r="L36" s="43" t="s">
        <v>58</v>
      </c>
    </row>
    <row r="37" spans="2:12" x14ac:dyDescent="0.35">
      <c r="B37" s="38" t="s">
        <v>194</v>
      </c>
    </row>
  </sheetData>
  <mergeCells count="25">
    <mergeCell ref="B28:M28"/>
    <mergeCell ref="I10:M12"/>
    <mergeCell ref="I13:M15"/>
    <mergeCell ref="I16:M18"/>
    <mergeCell ref="I19:M21"/>
    <mergeCell ref="I22:M24"/>
    <mergeCell ref="B7:D7"/>
    <mergeCell ref="E7:G7"/>
    <mergeCell ref="H7:J7"/>
    <mergeCell ref="K7:M7"/>
    <mergeCell ref="B9:G9"/>
    <mergeCell ref="I9:M9"/>
    <mergeCell ref="B5:D5"/>
    <mergeCell ref="E5:G5"/>
    <mergeCell ref="H5:J5"/>
    <mergeCell ref="K5:M5"/>
    <mergeCell ref="B6:D6"/>
    <mergeCell ref="E6:G6"/>
    <mergeCell ref="H6:J6"/>
    <mergeCell ref="K6:M6"/>
    <mergeCell ref="B1:M1"/>
    <mergeCell ref="B2:M2"/>
    <mergeCell ref="C3:D3"/>
    <mergeCell ref="E3:F3"/>
    <mergeCell ref="G3:M3"/>
  </mergeCells>
  <conditionalFormatting sqref="E30:E35">
    <cfRule type="dataBar" priority="2">
      <dataBar>
        <cfvo type="num" val="0"/>
        <cfvo type="max"/>
        <color rgb="FF9CC9C3"/>
      </dataBar>
      <extLst>
        <ext xmlns:x14="http://schemas.microsoft.com/office/spreadsheetml/2009/9/main" uri="{B025F937-C7B1-47D3-B67F-A62EFF666E3E}">
          <x14:id>{D75FC996-254B-46FA-A96C-3E1A52A27658}</x14:id>
        </ext>
      </extLst>
    </cfRule>
  </conditionalFormatting>
  <hyperlinks>
    <hyperlink ref="B3" location="'Dashboard'!A1" display="◂ Back to Dashboard" xr:uid="{00000000-0004-0000-0800-000000000000}"/>
    <hyperlink ref="C3" location="'D7_Condition'!A1" display="◂ Previous graph" xr:uid="{00000000-0004-0000-0800-000001000000}"/>
    <hyperlink ref="E3" location="'D1_Trend'!A1" display="Next graph ▸" xr:uid="{00000000-0004-0000-0800-000002000000}"/>
  </hyperlinks>
  <pageMargins left="0.75" right="0.75" top="1" bottom="1" header="0.511811023622047" footer="0.511811023622047"/>
  <pageSetup fitToHeight="0" orientation="landscape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75FC996-254B-46FA-A96C-3E1A52A27658}">
            <x14:dataBar axisPosition="none">
              <x14:cfvo type="num">
                <xm:f>0</xm:f>
              </x14:cfvo>
              <x14:cfvo type="max"/>
              <x14:negativeFillColor rgb="FF9CC9C3"/>
            </x14:dataBar>
          </x14:cfRule>
          <xm:sqref>E30:E35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E9A23B"/>
  </sheetPr>
  <dimension ref="A1:J82"/>
  <sheetViews>
    <sheetView showGridLines="0" zoomScaleNormal="100" workbookViewId="0">
      <pane ySplit="3" topLeftCell="A4" activePane="bottomLeft" state="frozen"/>
      <selection pane="bottomLeft"/>
    </sheetView>
  </sheetViews>
  <sheetFormatPr defaultColWidth="8.6328125" defaultRowHeight="14.5" x14ac:dyDescent="0.35"/>
  <cols>
    <col min="1" max="1" width="30" customWidth="1"/>
    <col min="2" max="11" width="13" customWidth="1"/>
  </cols>
  <sheetData>
    <row r="1" spans="1:10" ht="20" x14ac:dyDescent="0.4">
      <c r="A1" s="64" t="s">
        <v>230</v>
      </c>
    </row>
    <row r="2" spans="1:10" x14ac:dyDescent="0.35">
      <c r="A2" s="38" t="s">
        <v>231</v>
      </c>
    </row>
    <row r="4" spans="1:10" x14ac:dyDescent="0.35">
      <c r="A4" s="65" t="s">
        <v>232</v>
      </c>
      <c r="B4" s="66"/>
      <c r="C4" s="66"/>
      <c r="D4" s="66"/>
      <c r="E4" s="66"/>
      <c r="F4" s="66"/>
      <c r="G4" s="66"/>
      <c r="H4" s="66"/>
      <c r="I4" s="66"/>
      <c r="J4" s="66"/>
    </row>
    <row r="5" spans="1:10" ht="30" customHeight="1" x14ac:dyDescent="0.35">
      <c r="A5" s="23" t="s">
        <v>80</v>
      </c>
      <c r="B5" s="24" t="s">
        <v>233</v>
      </c>
      <c r="C5" s="24" t="s">
        <v>134</v>
      </c>
      <c r="D5" s="24" t="s">
        <v>131</v>
      </c>
      <c r="E5" s="24" t="s">
        <v>234</v>
      </c>
      <c r="F5" s="24" t="s">
        <v>235</v>
      </c>
      <c r="G5" s="24" t="s">
        <v>236</v>
      </c>
      <c r="H5" s="24" t="s">
        <v>237</v>
      </c>
      <c r="I5" s="24" t="s">
        <v>238</v>
      </c>
      <c r="J5" s="24" t="s">
        <v>239</v>
      </c>
    </row>
    <row r="6" spans="1:10" x14ac:dyDescent="0.35">
      <c r="A6" s="74" t="s">
        <v>240</v>
      </c>
      <c r="B6" s="26">
        <f>COUNT(d_price)</f>
        <v>250</v>
      </c>
      <c r="C6" s="27">
        <f>AVERAGE(d_price)</f>
        <v>390400</v>
      </c>
      <c r="D6" s="27">
        <f>MEDIAN(d_price)</f>
        <v>366000</v>
      </c>
      <c r="E6" s="27">
        <f>STDEV(d_price)</f>
        <v>222755.97612544181</v>
      </c>
      <c r="F6" s="27">
        <f>MIN(d_price)</f>
        <v>116000</v>
      </c>
      <c r="G6" s="27">
        <f>QUARTILE(d_price,1)</f>
        <v>297250</v>
      </c>
      <c r="H6" s="27">
        <f>QUARTILE(d_price,3)</f>
        <v>450000</v>
      </c>
      <c r="I6" s="27">
        <f>MAX(d_price)</f>
        <v>3310000</v>
      </c>
      <c r="J6" s="50">
        <f>SKEW(d_price)</f>
        <v>9.1541077684952299</v>
      </c>
    </row>
    <row r="7" spans="1:10" x14ac:dyDescent="0.35">
      <c r="A7" s="74" t="s">
        <v>241</v>
      </c>
      <c r="B7" s="26">
        <f>COUNT(d_list)</f>
        <v>250</v>
      </c>
      <c r="C7" s="27">
        <f>AVERAGE(d_list)</f>
        <v>400556</v>
      </c>
      <c r="D7" s="27">
        <f>MEDIAN(d_list)</f>
        <v>375500</v>
      </c>
      <c r="E7" s="27">
        <f>STDEV(d_list)</f>
        <v>230885.80702925462</v>
      </c>
      <c r="F7" s="27">
        <f>MIN(d_list)</f>
        <v>118000</v>
      </c>
      <c r="G7" s="27">
        <f>QUARTILE(d_list,1)</f>
        <v>309500</v>
      </c>
      <c r="H7" s="27">
        <f>QUARTILE(d_list,3)</f>
        <v>464000</v>
      </c>
      <c r="I7" s="27">
        <f>MAX(d_list)</f>
        <v>3450000</v>
      </c>
      <c r="J7" s="50">
        <f>SKEW(d_list)</f>
        <v>9.3647309563262606</v>
      </c>
    </row>
    <row r="8" spans="1:10" x14ac:dyDescent="0.35">
      <c r="A8" s="74" t="s">
        <v>242</v>
      </c>
      <c r="B8" s="26">
        <f>COUNT(d_sqft)</f>
        <v>250</v>
      </c>
      <c r="C8" s="40">
        <f>AVERAGE(d_sqft)</f>
        <v>1727.04</v>
      </c>
      <c r="D8" s="40">
        <f>MEDIAN(d_sqft)</f>
        <v>1740</v>
      </c>
      <c r="E8" s="40">
        <f>STDEV(d_sqft)</f>
        <v>574.95105291930042</v>
      </c>
      <c r="F8" s="40">
        <f>MIN(d_sqft)</f>
        <v>520</v>
      </c>
      <c r="G8" s="40">
        <f>QUARTILE(d_sqft,1)</f>
        <v>1380</v>
      </c>
      <c r="H8" s="40">
        <f>QUARTILE(d_sqft,3)</f>
        <v>2010</v>
      </c>
      <c r="I8" s="40">
        <f>MAX(d_sqft)</f>
        <v>6400</v>
      </c>
      <c r="J8" s="50">
        <f>SKEW(d_sqft)</f>
        <v>2.0956019802316508</v>
      </c>
    </row>
    <row r="9" spans="1:10" x14ac:dyDescent="0.35">
      <c r="A9" s="74" t="s">
        <v>243</v>
      </c>
      <c r="B9" s="26">
        <f>COUNT(d_psf)</f>
        <v>250</v>
      </c>
      <c r="C9" s="56">
        <f>AVERAGE(d_psf)</f>
        <v>225.90432319664487</v>
      </c>
      <c r="D9" s="56">
        <f>MEDIAN(d_psf)</f>
        <v>218.86377903327053</v>
      </c>
      <c r="E9" s="56">
        <f>STDEV(d_psf)</f>
        <v>51.538627097248856</v>
      </c>
      <c r="F9" s="56">
        <f>MIN(d_psf)</f>
        <v>125.13089005235602</v>
      </c>
      <c r="G9" s="56">
        <f>QUARTILE(d_psf,1)</f>
        <v>189.31159420289856</v>
      </c>
      <c r="H9" s="56">
        <f>QUARTILE(d_psf,3)</f>
        <v>260.25289845840234</v>
      </c>
      <c r="I9" s="56">
        <f>MAX(d_psf)</f>
        <v>517.1875</v>
      </c>
      <c r="J9" s="50">
        <f>SKEW(d_psf)</f>
        <v>1.087228521019407</v>
      </c>
    </row>
    <row r="10" spans="1:10" x14ac:dyDescent="0.35">
      <c r="A10" s="74" t="s">
        <v>244</v>
      </c>
      <c r="B10" s="26">
        <f>COUNT(d_lot)</f>
        <v>250</v>
      </c>
      <c r="C10" s="40">
        <f>AVERAGE(d_lot)</f>
        <v>4214.6000000000004</v>
      </c>
      <c r="D10" s="40">
        <f>MEDIAN(d_lot)</f>
        <v>4520</v>
      </c>
      <c r="E10" s="40">
        <f>STDEV(d_lot)</f>
        <v>3864.0457863950614</v>
      </c>
      <c r="F10" s="40">
        <f>MIN(d_lot)</f>
        <v>0</v>
      </c>
      <c r="G10" s="40">
        <f>QUARTILE(d_lot,1)</f>
        <v>1362.5</v>
      </c>
      <c r="H10" s="40">
        <f>QUARTILE(d_lot,3)</f>
        <v>6547.5</v>
      </c>
      <c r="I10" s="40">
        <f>MAX(d_lot)</f>
        <v>41000</v>
      </c>
      <c r="J10" s="50">
        <f>SKEW(d_lot)</f>
        <v>3.4564824941504795</v>
      </c>
    </row>
    <row r="11" spans="1:10" x14ac:dyDescent="0.35">
      <c r="A11" s="74" t="s">
        <v>190</v>
      </c>
      <c r="B11" s="26">
        <f>COUNT(d_beds)</f>
        <v>250</v>
      </c>
      <c r="C11" s="28">
        <f>AVERAGE(d_beds)</f>
        <v>2.988</v>
      </c>
      <c r="D11" s="28">
        <f>MEDIAN(d_beds)</f>
        <v>3</v>
      </c>
      <c r="E11" s="28">
        <f>STDEV(d_beds)</f>
        <v>1.1175202036753025</v>
      </c>
      <c r="F11" s="28">
        <f>MIN(d_beds)</f>
        <v>1</v>
      </c>
      <c r="G11" s="28">
        <f>QUARTILE(d_beds,1)</f>
        <v>2</v>
      </c>
      <c r="H11" s="28">
        <f>QUARTILE(d_beds,3)</f>
        <v>4</v>
      </c>
      <c r="I11" s="28">
        <f>MAX(d_beds)</f>
        <v>6</v>
      </c>
      <c r="J11" s="50">
        <f>SKEW(d_beds)</f>
        <v>6.3677244574889252E-3</v>
      </c>
    </row>
    <row r="12" spans="1:10" x14ac:dyDescent="0.35">
      <c r="A12" s="74" t="s">
        <v>245</v>
      </c>
      <c r="B12" s="26">
        <f>COUNT(d_baths)</f>
        <v>250</v>
      </c>
      <c r="C12" s="28">
        <f>AVERAGE(d_baths)</f>
        <v>2.4119999999999999</v>
      </c>
      <c r="D12" s="28">
        <f>MEDIAN(d_baths)</f>
        <v>2.5</v>
      </c>
      <c r="E12" s="28">
        <f>STDEV(d_baths)</f>
        <v>0.87597106185354068</v>
      </c>
      <c r="F12" s="28">
        <f>MIN(d_baths)</f>
        <v>1</v>
      </c>
      <c r="G12" s="28">
        <f>QUARTILE(d_baths,1)</f>
        <v>2</v>
      </c>
      <c r="H12" s="28">
        <f>QUARTILE(d_baths,3)</f>
        <v>3</v>
      </c>
      <c r="I12" s="28">
        <f>MAX(d_baths)</f>
        <v>5.5</v>
      </c>
      <c r="J12" s="50">
        <f>SKEW(d_baths)</f>
        <v>0.37560780853611819</v>
      </c>
    </row>
    <row r="13" spans="1:10" x14ac:dyDescent="0.35">
      <c r="A13" s="74" t="s">
        <v>246</v>
      </c>
      <c r="B13" s="26">
        <f>COUNT(d_dom)</f>
        <v>242</v>
      </c>
      <c r="C13" s="28">
        <f>AVERAGE(d_dom)</f>
        <v>57.371900826446279</v>
      </c>
      <c r="D13" s="28">
        <f>MEDIAN(d_dom)</f>
        <v>53</v>
      </c>
      <c r="E13" s="28">
        <f>STDEV(d_dom)</f>
        <v>30.6556655378233</v>
      </c>
      <c r="F13" s="28">
        <f>MIN(d_dom)</f>
        <v>18</v>
      </c>
      <c r="G13" s="28">
        <f>QUARTILE(d_dom,1)</f>
        <v>41</v>
      </c>
      <c r="H13" s="28">
        <f>QUARTILE(d_dom,3)</f>
        <v>67</v>
      </c>
      <c r="I13" s="28">
        <f>MAX(d_dom)</f>
        <v>412</v>
      </c>
      <c r="J13" s="50">
        <f>SKEW(d_dom)</f>
        <v>6.6353885007731659</v>
      </c>
    </row>
    <row r="14" spans="1:10" x14ac:dyDescent="0.35">
      <c r="A14" s="74" t="s">
        <v>247</v>
      </c>
      <c r="B14" s="26">
        <f>COUNT(d_stl)</f>
        <v>250</v>
      </c>
      <c r="C14" s="29">
        <f>AVERAGE(d_stl)</f>
        <v>0.97491350804585453</v>
      </c>
      <c r="D14" s="29">
        <f>MEDIAN(d_stl)</f>
        <v>0.9747351074077083</v>
      </c>
      <c r="E14" s="29">
        <f>STDEV(d_stl)</f>
        <v>3.1105612780888237E-2</v>
      </c>
      <c r="F14" s="29">
        <f>MIN(d_stl)</f>
        <v>0.85882352941176465</v>
      </c>
      <c r="G14" s="29">
        <f>QUARTILE(d_stl,1)</f>
        <v>0.95496963818841185</v>
      </c>
      <c r="H14" s="29">
        <f>QUARTILE(d_stl,3)</f>
        <v>0.99281181080193326</v>
      </c>
      <c r="I14" s="29">
        <f>MAX(d_stl)</f>
        <v>1.0610687022900764</v>
      </c>
      <c r="J14" s="50">
        <f>SKEW(d_stl)</f>
        <v>-7.9457088696412076E-2</v>
      </c>
    </row>
    <row r="15" spans="1:10" x14ac:dyDescent="0.35">
      <c r="A15" s="74" t="s">
        <v>248</v>
      </c>
      <c r="B15" s="26">
        <f>COUNT(d_comm)</f>
        <v>233</v>
      </c>
      <c r="C15" s="50">
        <f>AVERAGE(d_comm)</f>
        <v>2.9224892703862664</v>
      </c>
      <c r="D15" s="50">
        <f>MEDIAN(d_comm)</f>
        <v>2.98</v>
      </c>
      <c r="E15" s="50">
        <f>STDEV(d_comm)</f>
        <v>0.23489135624332264</v>
      </c>
      <c r="F15" s="50">
        <f>MIN(d_comm)</f>
        <v>2.41</v>
      </c>
      <c r="G15" s="50">
        <f>QUARTILE(d_comm,1)</f>
        <v>2.75</v>
      </c>
      <c r="H15" s="50">
        <f>QUARTILE(d_comm,3)</f>
        <v>3.05</v>
      </c>
      <c r="I15" s="50">
        <f>MAX(d_comm)</f>
        <v>3.33</v>
      </c>
      <c r="J15" s="50">
        <f>SKEW(d_comm)</f>
        <v>-0.49514640106170943</v>
      </c>
    </row>
    <row r="17" spans="1:10" x14ac:dyDescent="0.35">
      <c r="A17" s="38" t="s">
        <v>249</v>
      </c>
    </row>
    <row r="19" spans="1:10" x14ac:dyDescent="0.35">
      <c r="A19" s="65" t="s">
        <v>250</v>
      </c>
      <c r="B19" s="66"/>
      <c r="C19" s="66"/>
      <c r="D19" s="66"/>
      <c r="E19" s="66"/>
      <c r="F19" s="66"/>
      <c r="G19" s="66"/>
      <c r="H19" s="66"/>
      <c r="I19" s="66"/>
      <c r="J19" s="66"/>
    </row>
    <row r="20" spans="1:10" x14ac:dyDescent="0.35">
      <c r="A20" t="s">
        <v>251</v>
      </c>
      <c r="B20" s="75">
        <v>1.5</v>
      </c>
      <c r="C20" s="38" t="s">
        <v>252</v>
      </c>
    </row>
    <row r="21" spans="1:10" ht="30" customHeight="1" x14ac:dyDescent="0.35">
      <c r="A21" s="23" t="s">
        <v>80</v>
      </c>
      <c r="B21" s="24" t="s">
        <v>236</v>
      </c>
      <c r="C21" s="24" t="s">
        <v>237</v>
      </c>
      <c r="D21" s="24" t="s">
        <v>253</v>
      </c>
      <c r="E21" s="24" t="s">
        <v>254</v>
      </c>
      <c r="F21" s="24" t="s">
        <v>255</v>
      </c>
      <c r="G21" s="24" t="s">
        <v>256</v>
      </c>
    </row>
    <row r="22" spans="1:10" x14ac:dyDescent="0.35">
      <c r="A22" s="74" t="s">
        <v>240</v>
      </c>
      <c r="B22" s="27">
        <f>QUARTILE(d_price,1)</f>
        <v>297250</v>
      </c>
      <c r="C22" s="27">
        <f>QUARTILE(d_price,3)</f>
        <v>450000</v>
      </c>
      <c r="D22" s="27">
        <f>C22-B22</f>
        <v>152750</v>
      </c>
      <c r="E22" s="27">
        <f>B22-$B$20*D22</f>
        <v>68125</v>
      </c>
      <c r="F22" s="27">
        <f>C22+$B$20*D22</f>
        <v>679125</v>
      </c>
      <c r="G22" s="26">
        <f>COUNTIF(d_flag,"*High price*")</f>
        <v>4</v>
      </c>
    </row>
    <row r="23" spans="1:10" x14ac:dyDescent="0.35">
      <c r="A23" s="74" t="s">
        <v>246</v>
      </c>
      <c r="B23" s="28">
        <f>QUARTILE(d_dom,1)</f>
        <v>41</v>
      </c>
      <c r="C23" s="28">
        <f>QUARTILE(d_dom,3)</f>
        <v>67</v>
      </c>
      <c r="D23" s="28">
        <f>C23-B23</f>
        <v>26</v>
      </c>
      <c r="E23" s="28">
        <f>B23-$B$20*D23</f>
        <v>2</v>
      </c>
      <c r="F23" s="28">
        <f>C23+$B$20*D23</f>
        <v>106</v>
      </c>
      <c r="G23" s="26">
        <f>COUNTIF(d_flag,"*Long DOM*")</f>
        <v>5</v>
      </c>
    </row>
    <row r="24" spans="1:10" x14ac:dyDescent="0.35">
      <c r="A24" s="74" t="s">
        <v>243</v>
      </c>
      <c r="B24" s="56">
        <f>QUARTILE(d_psf,1)</f>
        <v>189.31159420289856</v>
      </c>
      <c r="C24" s="56">
        <f>QUARTILE(d_psf,3)</f>
        <v>260.25289845840234</v>
      </c>
      <c r="D24" s="56">
        <f>C24-B24</f>
        <v>70.94130425550378</v>
      </c>
      <c r="E24" s="56">
        <f>B24-$B$20*D24</f>
        <v>82.899637819642891</v>
      </c>
      <c r="F24" s="56">
        <f>C24+$B$20*D24</f>
        <v>366.66485484165798</v>
      </c>
      <c r="G24" s="26">
        <f>COUNTIF(d_flag,"*$/sqft*")</f>
        <v>2</v>
      </c>
    </row>
    <row r="25" spans="1:10" x14ac:dyDescent="0.35">
      <c r="A25" s="76" t="s">
        <v>257</v>
      </c>
      <c r="G25" s="76">
        <f>COUNTIF(d_flag,"?*")</f>
        <v>10</v>
      </c>
    </row>
    <row r="26" spans="1:10" x14ac:dyDescent="0.35">
      <c r="A26" s="38" t="s">
        <v>258</v>
      </c>
    </row>
    <row r="28" spans="1:10" x14ac:dyDescent="0.35">
      <c r="A28" s="65" t="s">
        <v>259</v>
      </c>
      <c r="B28" s="66"/>
      <c r="C28" s="66"/>
      <c r="D28" s="66"/>
      <c r="E28" s="66"/>
      <c r="F28" s="66"/>
      <c r="G28" s="66"/>
      <c r="H28" s="66"/>
      <c r="I28" s="66"/>
      <c r="J28" s="66"/>
    </row>
    <row r="29" spans="1:10" ht="30" customHeight="1" x14ac:dyDescent="0.35">
      <c r="A29" s="23" t="s">
        <v>260</v>
      </c>
      <c r="B29" s="24" t="s">
        <v>261</v>
      </c>
      <c r="C29" s="24" t="s">
        <v>161</v>
      </c>
      <c r="D29" s="24" t="s">
        <v>262</v>
      </c>
    </row>
    <row r="30" spans="1:10" x14ac:dyDescent="0.35">
      <c r="A30" s="74" t="s">
        <v>242</v>
      </c>
      <c r="B30" s="50">
        <f>CORREL(d_sqft,d_price)</f>
        <v>0.79506554588935474</v>
      </c>
      <c r="C30" s="47" t="str">
        <f t="shared" ref="C30:C37" si="0">IF(ABS(B30)&gt;=0.7,"Strong",IF(ABS(B30)&gt;=0.4,"Moderate",IF(ABS(B30)&gt;=0.2,"Weak","Negligible")))&amp;IF(B30&lt;0," (neg.)","")</f>
        <v>Strong</v>
      </c>
      <c r="D30" s="29">
        <f t="shared" ref="D30:D37" si="1">B30^2</f>
        <v>0.63212922226033763</v>
      </c>
    </row>
    <row r="31" spans="1:10" x14ac:dyDescent="0.35">
      <c r="A31" s="74" t="s">
        <v>244</v>
      </c>
      <c r="B31" s="50">
        <f>CORREL(d_lot,d_price)</f>
        <v>0.77804606612569227</v>
      </c>
      <c r="C31" s="47" t="str">
        <f t="shared" si="0"/>
        <v>Strong</v>
      </c>
      <c r="D31" s="29">
        <f t="shared" si="1"/>
        <v>0.6053556810136651</v>
      </c>
    </row>
    <row r="32" spans="1:10" x14ac:dyDescent="0.35">
      <c r="A32" s="74" t="s">
        <v>190</v>
      </c>
      <c r="B32" s="50">
        <f>CORREL(d_beds,d_price)</f>
        <v>0.53605536978620572</v>
      </c>
      <c r="C32" s="47" t="str">
        <f t="shared" si="0"/>
        <v>Moderate</v>
      </c>
      <c r="D32" s="29">
        <f t="shared" si="1"/>
        <v>0.28735535947662577</v>
      </c>
    </row>
    <row r="33" spans="1:10" x14ac:dyDescent="0.35">
      <c r="A33" s="74" t="s">
        <v>245</v>
      </c>
      <c r="B33" s="50">
        <f>CORREL(d_baths,d_price)</f>
        <v>0.50530782380502692</v>
      </c>
      <c r="C33" s="47" t="str">
        <f t="shared" si="0"/>
        <v>Moderate</v>
      </c>
      <c r="D33" s="29">
        <f t="shared" si="1"/>
        <v>0.25533599679857211</v>
      </c>
    </row>
    <row r="34" spans="1:10" x14ac:dyDescent="0.35">
      <c r="A34" s="74" t="s">
        <v>263</v>
      </c>
      <c r="B34" s="50">
        <f>CORREL(d_garage,d_price)</f>
        <v>0.32863541759378551</v>
      </c>
      <c r="C34" s="47" t="str">
        <f t="shared" si="0"/>
        <v>Weak</v>
      </c>
      <c r="D34" s="29">
        <f t="shared" si="1"/>
        <v>0.10800123769704179</v>
      </c>
    </row>
    <row r="35" spans="1:10" x14ac:dyDescent="0.35">
      <c r="A35" s="74" t="s">
        <v>264</v>
      </c>
      <c r="B35" s="50">
        <f>CORREL(d_year,d_price)</f>
        <v>0.11917735935399698</v>
      </c>
      <c r="C35" s="47" t="str">
        <f t="shared" si="0"/>
        <v>Negligible</v>
      </c>
      <c r="D35" s="29">
        <f t="shared" si="1"/>
        <v>1.4203242982591732E-2</v>
      </c>
    </row>
    <row r="36" spans="1:10" x14ac:dyDescent="0.35">
      <c r="A36" s="74" t="s">
        <v>246</v>
      </c>
      <c r="B36" s="50">
        <f>CORREL(d_dom,d_price)</f>
        <v>-6.3011286136105696E-2</v>
      </c>
      <c r="C36" s="47" t="str">
        <f t="shared" si="0"/>
        <v>Negligible (neg.)</v>
      </c>
      <c r="D36" s="29">
        <f t="shared" si="1"/>
        <v>3.9704221805261855E-3</v>
      </c>
    </row>
    <row r="37" spans="1:10" x14ac:dyDescent="0.35">
      <c r="A37" s="74" t="s">
        <v>248</v>
      </c>
      <c r="B37" s="50">
        <f>CORREL(d_comm,d_price)</f>
        <v>-0.18523086632234026</v>
      </c>
      <c r="C37" s="47" t="str">
        <f t="shared" si="0"/>
        <v>Negligible (neg.)</v>
      </c>
      <c r="D37" s="29">
        <f t="shared" si="1"/>
        <v>3.4310473838524688E-2</v>
      </c>
    </row>
    <row r="38" spans="1:10" x14ac:dyDescent="0.35">
      <c r="A38" s="38" t="s">
        <v>265</v>
      </c>
    </row>
    <row r="40" spans="1:10" x14ac:dyDescent="0.35">
      <c r="A40" s="65" t="s">
        <v>266</v>
      </c>
      <c r="B40" s="66"/>
      <c r="C40" s="66"/>
      <c r="D40" s="66"/>
      <c r="E40" s="66"/>
      <c r="F40" s="66"/>
      <c r="G40" s="66"/>
      <c r="H40" s="66"/>
      <c r="I40" s="66"/>
      <c r="J40" s="66"/>
    </row>
    <row r="41" spans="1:10" ht="30" customHeight="1" x14ac:dyDescent="0.35">
      <c r="A41" s="23" t="s">
        <v>267</v>
      </c>
      <c r="B41" s="24" t="s">
        <v>157</v>
      </c>
      <c r="C41" s="24" t="s">
        <v>268</v>
      </c>
    </row>
    <row r="42" spans="1:10" x14ac:dyDescent="0.35">
      <c r="A42" s="74" t="s">
        <v>269</v>
      </c>
      <c r="B42" s="77">
        <f>SLOPE(d_price,d_sqft)</f>
        <v>308.03596385995121</v>
      </c>
      <c r="C42" s="78">
        <f t="array" ref="C42">SLOPE(IF(d_flag="",d_price),IF(d_flag="",d_sqft))</f>
        <v>183.53506645696297</v>
      </c>
    </row>
    <row r="43" spans="1:10" x14ac:dyDescent="0.35">
      <c r="A43" s="74" t="s">
        <v>270</v>
      </c>
      <c r="B43" s="79">
        <f>INTERCEPT(d_price,d_sqft)</f>
        <v>-141590.43102469016</v>
      </c>
      <c r="C43" s="63">
        <f t="array" ref="C43">INTERCEPT(IF(d_flag="",d_price),IF(d_flag="",d_sqft))</f>
        <v>62313.480206312786</v>
      </c>
    </row>
    <row r="44" spans="1:10" x14ac:dyDescent="0.35">
      <c r="A44" s="74" t="s">
        <v>271</v>
      </c>
      <c r="B44" s="80">
        <f>RSQ(d_price,d_sqft)</f>
        <v>0.63212922226033752</v>
      </c>
      <c r="C44" s="81">
        <f t="array" ref="C44">RSQ(IF(d_flag="",d_price),IF(d_flag="",d_sqft))</f>
        <v>0.58618350156738797</v>
      </c>
    </row>
    <row r="45" spans="1:10" x14ac:dyDescent="0.35">
      <c r="A45" s="74" t="s">
        <v>165</v>
      </c>
      <c r="B45" s="79">
        <f>STEYX(d_price,d_sqft)</f>
        <v>135378.85684841321</v>
      </c>
      <c r="C45" s="63">
        <f t="array" ref="C45">STEYX(IF(d_flag="",d_price),IF(d_flag="",d_sqft))</f>
        <v>74997.114471189459</v>
      </c>
    </row>
    <row r="47" spans="1:10" x14ac:dyDescent="0.35">
      <c r="A47" s="45" t="s">
        <v>272</v>
      </c>
      <c r="B47" s="82">
        <v>2000</v>
      </c>
    </row>
    <row r="48" spans="1:10" x14ac:dyDescent="0.35">
      <c r="A48" s="62" t="s">
        <v>273</v>
      </c>
      <c r="B48" s="63">
        <f>C43+C42*B47</f>
        <v>429383.6131202387</v>
      </c>
    </row>
    <row r="49" spans="1:10" x14ac:dyDescent="0.35">
      <c r="A49" s="62" t="s">
        <v>274</v>
      </c>
      <c r="B49" s="62" t="str">
        <f>TEXT(B48-C45,"$#,##0")&amp;" – "&amp;TEXT(B48+C45,"$#,##0")</f>
        <v>$3,54,386 – $5,04,381</v>
      </c>
    </row>
    <row r="50" spans="1:10" x14ac:dyDescent="0.35">
      <c r="A50" s="38" t="s">
        <v>275</v>
      </c>
    </row>
    <row r="51" spans="1:10" ht="30" customHeight="1" x14ac:dyDescent="0.35">
      <c r="A51" s="23" t="s">
        <v>276</v>
      </c>
      <c r="B51" s="24" t="s">
        <v>277</v>
      </c>
      <c r="C51" s="24" t="s">
        <v>278</v>
      </c>
    </row>
    <row r="52" spans="1:10" x14ac:dyDescent="0.35">
      <c r="A52" s="74" t="s">
        <v>279</v>
      </c>
      <c r="B52" s="83">
        <v>500</v>
      </c>
      <c r="C52" s="79">
        <f>$C$43+$C$42*B52</f>
        <v>154081.01343479427</v>
      </c>
    </row>
    <row r="53" spans="1:10" x14ac:dyDescent="0.35">
      <c r="A53" s="74" t="s">
        <v>280</v>
      </c>
      <c r="B53" s="83">
        <v>3500</v>
      </c>
      <c r="C53" s="79">
        <f>$C$43+$C$42*B53</f>
        <v>704686.21280568326</v>
      </c>
    </row>
    <row r="56" spans="1:10" x14ac:dyDescent="0.35">
      <c r="A56" s="65" t="s">
        <v>281</v>
      </c>
      <c r="B56" s="66"/>
      <c r="C56" s="66"/>
      <c r="D56" s="66"/>
      <c r="E56" s="66"/>
      <c r="F56" s="66"/>
      <c r="G56" s="66"/>
      <c r="H56" s="66"/>
      <c r="I56" s="66"/>
      <c r="J56" s="66"/>
    </row>
    <row r="57" spans="1:10" ht="30" customHeight="1" x14ac:dyDescent="0.35">
      <c r="A57" s="23" t="s">
        <v>80</v>
      </c>
      <c r="B57" s="24" t="s">
        <v>128</v>
      </c>
    </row>
    <row r="58" spans="1:10" x14ac:dyDescent="0.35">
      <c r="A58" s="74" t="s">
        <v>282</v>
      </c>
      <c r="B58" s="84">
        <f>AVERAGE(d_stl)</f>
        <v>0.97491350804585453</v>
      </c>
    </row>
    <row r="59" spans="1:10" x14ac:dyDescent="0.35">
      <c r="A59" s="74" t="s">
        <v>283</v>
      </c>
      <c r="B59" s="84">
        <f>MEDIAN(d_stl)</f>
        <v>0.9747351074077083</v>
      </c>
    </row>
    <row r="60" spans="1:10" x14ac:dyDescent="0.35">
      <c r="A60" s="74" t="s">
        <v>284</v>
      </c>
      <c r="B60" s="84">
        <f>COUNTIF(d_stl,"&gt;1")/COUNT(d_stl)</f>
        <v>0.192</v>
      </c>
    </row>
    <row r="61" spans="1:10" x14ac:dyDescent="0.35">
      <c r="A61" s="74" t="s">
        <v>285</v>
      </c>
      <c r="B61" s="84">
        <f>COUNTIF(d_stl,1)/COUNT(d_stl)</f>
        <v>0.02</v>
      </c>
    </row>
    <row r="62" spans="1:10" x14ac:dyDescent="0.35">
      <c r="A62" s="74" t="s">
        <v>286</v>
      </c>
      <c r="B62" s="84">
        <f>COUNTIF(d_stl,"&lt;1")/COUNT(d_stl)</f>
        <v>0.78800000000000003</v>
      </c>
    </row>
    <row r="63" spans="1:10" x14ac:dyDescent="0.35">
      <c r="A63" s="74" t="s">
        <v>287</v>
      </c>
      <c r="B63" s="85">
        <f>AVERAGE(d_diff)</f>
        <v>-10156</v>
      </c>
    </row>
    <row r="64" spans="1:10" x14ac:dyDescent="0.35">
      <c r="A64" s="74" t="s">
        <v>288</v>
      </c>
      <c r="B64" s="85">
        <f>AVERAGEIF(d_diff,"&lt;0")</f>
        <v>-14781.725888324872</v>
      </c>
    </row>
    <row r="66" spans="1:10" ht="30" customHeight="1" x14ac:dyDescent="0.35">
      <c r="A66" s="23" t="s">
        <v>289</v>
      </c>
      <c r="B66" s="24" t="s">
        <v>290</v>
      </c>
      <c r="C66" s="24" t="s">
        <v>291</v>
      </c>
      <c r="D66" s="24" t="s">
        <v>48</v>
      </c>
      <c r="E66" s="24" t="s">
        <v>106</v>
      </c>
      <c r="F66" s="24" t="s">
        <v>50</v>
      </c>
    </row>
    <row r="67" spans="1:10" x14ac:dyDescent="0.35">
      <c r="A67" s="72" t="s">
        <v>292</v>
      </c>
      <c r="B67" s="73">
        <v>0</v>
      </c>
      <c r="C67" s="73">
        <v>40</v>
      </c>
      <c r="D67" s="26">
        <f>COUNTIFS(d_dom,"&gt;="&amp;$B67,d_dom,"&lt;="&amp;$C67)</f>
        <v>56</v>
      </c>
      <c r="E67" s="29">
        <f>IFERROR(AVERAGEIFS(d_stl,d_dom,"&gt;="&amp;$B67,d_dom,"&lt;="&amp;$C67),"")</f>
        <v>0.977554753516233</v>
      </c>
      <c r="F67" s="27">
        <f>IFERROR(AVERAGEIFS(d_price,d_dom,"&gt;="&amp;$B67,d_dom,"&lt;="&amp;$C67),"")</f>
        <v>385857.14285714284</v>
      </c>
    </row>
    <row r="68" spans="1:10" x14ac:dyDescent="0.35">
      <c r="A68" s="72" t="s">
        <v>293</v>
      </c>
      <c r="B68" s="73">
        <v>41</v>
      </c>
      <c r="C68" s="73">
        <v>60</v>
      </c>
      <c r="D68" s="26">
        <f>COUNTIFS(d_dom,"&gt;="&amp;$B68,d_dom,"&lt;="&amp;$C68)</f>
        <v>97</v>
      </c>
      <c r="E68" s="29">
        <f>IFERROR(AVERAGEIFS(d_stl,d_dom,"&gt;="&amp;$B68,d_dom,"&lt;="&amp;$C68),"")</f>
        <v>0.97814724100386696</v>
      </c>
      <c r="F68" s="27">
        <f>IFERROR(AVERAGEIFS(d_price,d_dom,"&gt;="&amp;$B68,d_dom,"&lt;="&amp;$C68),"")</f>
        <v>386391.75257731957</v>
      </c>
    </row>
    <row r="69" spans="1:10" x14ac:dyDescent="0.35">
      <c r="A69" s="72" t="s">
        <v>294</v>
      </c>
      <c r="B69" s="73">
        <v>61</v>
      </c>
      <c r="C69" s="73">
        <v>90</v>
      </c>
      <c r="D69" s="26">
        <f>COUNTIFS(d_dom,"&gt;="&amp;$B69,d_dom,"&lt;="&amp;$C69)</f>
        <v>69</v>
      </c>
      <c r="E69" s="29">
        <f>IFERROR(AVERAGEIFS(d_stl,d_dom,"&gt;="&amp;$B69,d_dom,"&lt;="&amp;$C69),"")</f>
        <v>0.96946970724600634</v>
      </c>
      <c r="F69" s="27">
        <f>IFERROR(AVERAGEIFS(d_price,d_dom,"&gt;="&amp;$B69,d_dom,"&lt;="&amp;$C69),"")</f>
        <v>408434.78260869568</v>
      </c>
    </row>
    <row r="70" spans="1:10" x14ac:dyDescent="0.35">
      <c r="A70" s="72" t="s">
        <v>295</v>
      </c>
      <c r="B70" s="73">
        <v>91</v>
      </c>
      <c r="C70" s="73">
        <v>9999</v>
      </c>
      <c r="D70" s="26">
        <f>COUNTIFS(d_dom,"&gt;="&amp;$B70,d_dom,"&lt;="&amp;$C70)</f>
        <v>20</v>
      </c>
      <c r="E70" s="29">
        <f>IFERROR(AVERAGEIFS(d_stl,d_dom,"&gt;="&amp;$B70,d_dom,"&lt;="&amp;$C70),"")</f>
        <v>0.9727120392237929</v>
      </c>
      <c r="F70" s="27">
        <f>IFERROR(AVERAGEIFS(d_price,d_dom,"&gt;="&amp;$B70,d_dom,"&lt;="&amp;$C70),"")</f>
        <v>381800</v>
      </c>
    </row>
    <row r="72" spans="1:10" x14ac:dyDescent="0.35">
      <c r="A72" s="65" t="s">
        <v>296</v>
      </c>
      <c r="B72" s="66"/>
      <c r="C72" s="66"/>
      <c r="D72" s="66"/>
      <c r="E72" s="66"/>
      <c r="F72" s="66"/>
      <c r="G72" s="66"/>
      <c r="H72" s="66"/>
      <c r="I72" s="66"/>
      <c r="J72" s="66"/>
    </row>
    <row r="73" spans="1:10" ht="27.75" customHeight="1" x14ac:dyDescent="0.35">
      <c r="A73" s="130" t="s">
        <v>297</v>
      </c>
      <c r="B73" s="130"/>
      <c r="C73" s="130"/>
      <c r="D73" s="130"/>
      <c r="E73" s="130"/>
      <c r="F73" s="130"/>
      <c r="G73" s="130"/>
      <c r="H73" s="130"/>
      <c r="I73" s="130"/>
      <c r="J73" s="130"/>
    </row>
    <row r="74" spans="1:10" ht="27.75" customHeight="1" x14ac:dyDescent="0.35">
      <c r="A74" s="130" t="s">
        <v>298</v>
      </c>
      <c r="B74" s="130"/>
      <c r="C74" s="130"/>
      <c r="D74" s="130"/>
      <c r="E74" s="130"/>
      <c r="F74" s="130"/>
      <c r="G74" s="130"/>
      <c r="H74" s="130"/>
      <c r="I74" s="130"/>
      <c r="J74" s="130"/>
    </row>
    <row r="75" spans="1:10" ht="27.75" customHeight="1" x14ac:dyDescent="0.35">
      <c r="A75" s="130" t="s">
        <v>299</v>
      </c>
      <c r="B75" s="130"/>
      <c r="C75" s="130"/>
      <c r="D75" s="130"/>
      <c r="E75" s="130"/>
      <c r="F75" s="130"/>
      <c r="G75" s="130"/>
      <c r="H75" s="130"/>
      <c r="I75" s="130"/>
      <c r="J75" s="130"/>
    </row>
    <row r="76" spans="1:10" ht="27.75" customHeight="1" x14ac:dyDescent="0.35">
      <c r="A76" s="130" t="s">
        <v>300</v>
      </c>
      <c r="B76" s="130"/>
      <c r="C76" s="130"/>
      <c r="D76" s="130"/>
      <c r="E76" s="130"/>
      <c r="F76" s="130"/>
      <c r="G76" s="130"/>
      <c r="H76" s="130"/>
      <c r="I76" s="130"/>
      <c r="J76" s="130"/>
    </row>
    <row r="77" spans="1:10" ht="27.75" customHeight="1" x14ac:dyDescent="0.35">
      <c r="A77" s="130" t="s">
        <v>301</v>
      </c>
      <c r="B77" s="130"/>
      <c r="C77" s="130"/>
      <c r="D77" s="130"/>
      <c r="E77" s="130"/>
      <c r="F77" s="130"/>
      <c r="G77" s="130"/>
      <c r="H77" s="130"/>
      <c r="I77" s="130"/>
      <c r="J77" s="130"/>
    </row>
    <row r="80" spans="1:10" x14ac:dyDescent="0.35">
      <c r="A80" s="65" t="s">
        <v>302</v>
      </c>
      <c r="B80" s="66"/>
      <c r="C80" s="66"/>
      <c r="D80" s="66"/>
      <c r="E80" s="66"/>
      <c r="F80" s="66"/>
      <c r="G80" s="66"/>
      <c r="H80" s="66"/>
      <c r="I80" s="66"/>
      <c r="J80" s="66"/>
    </row>
    <row r="81" spans="1:2" x14ac:dyDescent="0.35">
      <c r="A81" s="62" t="s">
        <v>303</v>
      </c>
      <c r="B81" s="62" t="str">
        <f>IF(Dashboard!$D$4="All","*",Dashboard!$D$4)</f>
        <v>*</v>
      </c>
    </row>
    <row r="82" spans="1:2" x14ac:dyDescent="0.35">
      <c r="A82" s="62" t="s">
        <v>304</v>
      </c>
      <c r="B82" s="62" t="str">
        <f>IF(Dashboard!$H$4="All","*",Dashboard!$H$4)</f>
        <v>*</v>
      </c>
    </row>
  </sheetData>
  <mergeCells count="5">
    <mergeCell ref="A73:J73"/>
    <mergeCell ref="A74:J74"/>
    <mergeCell ref="A75:J75"/>
    <mergeCell ref="A76:J76"/>
    <mergeCell ref="A77:J77"/>
  </mergeCells>
  <conditionalFormatting sqref="B30:B37">
    <cfRule type="dataBar" priority="2">
      <dataBar>
        <cfvo type="num" val="-1"/>
        <cfvo type="num" val="1"/>
        <color rgb="FF2A9D8F"/>
      </dataBar>
      <extLst>
        <ext xmlns:x14="http://schemas.microsoft.com/office/spreadsheetml/2009/9/main" uri="{B025F937-C7B1-47D3-B67F-A62EFF666E3E}">
          <x14:id>{25204CC8-AD20-4C69-BB97-B01324A990A6}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5204CC8-AD20-4C69-BB97-B01324A990A6}">
            <x14:dataBar axisPosition="none">
              <x14:cfvo type="num">
                <xm:f>-1</xm:f>
              </x14:cfvo>
              <x14:cfvo type="num">
                <xm:f>1</xm:f>
              </x14:cfvo>
              <x14:negativeFillColor rgb="FF2A9D8F"/>
            </x14:dataBar>
          </x14:cfRule>
          <xm:sqref>B30:B37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E76F51"/>
  </sheetPr>
  <dimension ref="A1:E78"/>
  <sheetViews>
    <sheetView showGridLines="0" zoomScale="64" zoomScaleNormal="64" workbookViewId="0">
      <pane ySplit="3" topLeftCell="A4" activePane="bottomLeft" state="frozen"/>
      <selection pane="bottomLeft" activeCell="K19" sqref="K19"/>
    </sheetView>
  </sheetViews>
  <sheetFormatPr defaultColWidth="8.6328125" defaultRowHeight="14.5" x14ac:dyDescent="0.35"/>
  <cols>
    <col min="1" max="1" width="24" customWidth="1"/>
    <col min="2" max="2" width="46" customWidth="1"/>
    <col min="3" max="3" width="14" customWidth="1"/>
    <col min="4" max="4" width="52" customWidth="1"/>
    <col min="5" max="5" width="46" customWidth="1"/>
  </cols>
  <sheetData>
    <row r="1" spans="1:5" ht="20" x14ac:dyDescent="0.4">
      <c r="A1" s="64" t="s">
        <v>305</v>
      </c>
    </row>
    <row r="2" spans="1:5" x14ac:dyDescent="0.35">
      <c r="A2" s="38" t="s">
        <v>306</v>
      </c>
    </row>
    <row r="4" spans="1:5" x14ac:dyDescent="0.35">
      <c r="A4" s="65" t="s">
        <v>307</v>
      </c>
      <c r="B4" s="66"/>
      <c r="C4" s="66"/>
      <c r="D4" s="66"/>
      <c r="E4" s="66"/>
    </row>
    <row r="5" spans="1:5" ht="30" customHeight="1" x14ac:dyDescent="0.35">
      <c r="A5" s="23" t="s">
        <v>80</v>
      </c>
      <c r="B5" s="24" t="s">
        <v>308</v>
      </c>
      <c r="C5" s="24" t="s">
        <v>309</v>
      </c>
      <c r="D5" s="24" t="s">
        <v>310</v>
      </c>
      <c r="E5" s="24" t="s">
        <v>311</v>
      </c>
    </row>
    <row r="6" spans="1:5" x14ac:dyDescent="0.35">
      <c r="A6" s="39" t="s">
        <v>312</v>
      </c>
      <c r="B6" s="74" t="s">
        <v>313</v>
      </c>
      <c r="C6" s="86">
        <f>COUNTA(Data_Raw!A2:A251)</f>
        <v>250</v>
      </c>
      <c r="D6" s="86">
        <f>COUNTA(Data_Clean!A2:A251)</f>
        <v>250</v>
      </c>
      <c r="E6" s="74" t="s">
        <v>314</v>
      </c>
    </row>
    <row r="7" spans="1:5" x14ac:dyDescent="0.35">
      <c r="A7" s="39" t="s">
        <v>315</v>
      </c>
      <c r="B7" s="74" t="s">
        <v>316</v>
      </c>
      <c r="C7" s="86">
        <f>SUMPRODUCT(--(COUNTIF(Data_Raw!A2:A251,Data_Raw!A2:A251)&gt;1))</f>
        <v>0</v>
      </c>
      <c r="D7" s="86">
        <f>SUMPRODUCT(--(COUNTIF(Data_Clean!A2:A251,Data_Clean!A2:A251)&gt;1))</f>
        <v>0</v>
      </c>
      <c r="E7" s="74" t="s">
        <v>317</v>
      </c>
    </row>
    <row r="8" spans="1:5" x14ac:dyDescent="0.35">
      <c r="A8" s="39" t="s">
        <v>318</v>
      </c>
      <c r="B8" s="74" t="s">
        <v>319</v>
      </c>
      <c r="C8" s="86">
        <f>COUNTBLANK(Data_Raw!C2:O251)</f>
        <v>98</v>
      </c>
      <c r="D8" s="86">
        <f>COUNTBLANK(Data_Clean!C2:O251)</f>
        <v>38</v>
      </c>
      <c r="E8" s="74" t="s">
        <v>320</v>
      </c>
    </row>
    <row r="9" spans="1:5" x14ac:dyDescent="0.35">
      <c r="A9" s="39" t="s">
        <v>321</v>
      </c>
      <c r="B9" s="74" t="s">
        <v>322</v>
      </c>
      <c r="C9" s="86">
        <v>19</v>
      </c>
      <c r="D9" s="86">
        <f>SUMPRODUCT(1/COUNTIF(Data_Clean!C2:C251,Data_Clean!C2:C251))</f>
        <v>6.0000000000000044</v>
      </c>
      <c r="E9" s="74" t="s">
        <v>323</v>
      </c>
    </row>
    <row r="10" spans="1:5" x14ac:dyDescent="0.35">
      <c r="A10" s="39" t="s">
        <v>324</v>
      </c>
      <c r="B10" s="74" t="s">
        <v>322</v>
      </c>
      <c r="C10" s="86">
        <v>13</v>
      </c>
      <c r="D10" s="86">
        <f>SUMPRODUCT(1/COUNTIF(Data_Clean!D2:D251,Data_Clean!D2:D251))</f>
        <v>2.9999999999999978</v>
      </c>
      <c r="E10" s="74" t="s">
        <v>325</v>
      </c>
    </row>
    <row r="11" spans="1:5" x14ac:dyDescent="0.35">
      <c r="A11" s="39" t="s">
        <v>326</v>
      </c>
      <c r="B11" s="74" t="s">
        <v>322</v>
      </c>
      <c r="C11" s="86">
        <v>11</v>
      </c>
      <c r="D11" s="86">
        <f>SUMPRODUCT(1/COUNTIF(Data_Clean!K2:K251,Data_Clean!K2:K251))</f>
        <v>4.9999999999999973</v>
      </c>
      <c r="E11" s="74" t="s">
        <v>327</v>
      </c>
    </row>
    <row r="13" spans="1:5" x14ac:dyDescent="0.35">
      <c r="A13" s="65" t="s">
        <v>328</v>
      </c>
      <c r="B13" s="66"/>
      <c r="C13" s="66"/>
      <c r="D13" s="66"/>
      <c r="E13" s="66"/>
    </row>
    <row r="14" spans="1:5" ht="30" customHeight="1" x14ac:dyDescent="0.35">
      <c r="A14" s="23" t="s">
        <v>329</v>
      </c>
      <c r="B14" s="24" t="s">
        <v>330</v>
      </c>
      <c r="C14" s="24" t="s">
        <v>331</v>
      </c>
      <c r="D14" s="24" t="s">
        <v>332</v>
      </c>
      <c r="E14" s="24" t="s">
        <v>333</v>
      </c>
    </row>
    <row r="15" spans="1:5" ht="30" customHeight="1" x14ac:dyDescent="0.35">
      <c r="A15" s="87" t="s">
        <v>334</v>
      </c>
      <c r="B15" s="88" t="s">
        <v>335</v>
      </c>
      <c r="C15" s="89">
        <f>COUNTA(Data_Raw!B2:B251)</f>
        <v>250</v>
      </c>
      <c r="D15" s="88" t="s">
        <v>336</v>
      </c>
      <c r="E15" s="88" t="s">
        <v>337</v>
      </c>
    </row>
    <row r="16" spans="1:5" ht="30" customHeight="1" x14ac:dyDescent="0.35">
      <c r="A16" s="87" t="s">
        <v>338</v>
      </c>
      <c r="B16" s="88" t="s">
        <v>339</v>
      </c>
      <c r="C16" s="89">
        <f>COUNTIF(Data_Clean!$X$2:$X$251,"*neighborhood standardised*")</f>
        <v>38</v>
      </c>
      <c r="D16" s="88" t="s">
        <v>340</v>
      </c>
      <c r="E16" s="88" t="s">
        <v>341</v>
      </c>
    </row>
    <row r="17" spans="1:5" ht="30" customHeight="1" x14ac:dyDescent="0.35">
      <c r="A17" s="87" t="s">
        <v>338</v>
      </c>
      <c r="B17" s="88" t="s">
        <v>342</v>
      </c>
      <c r="C17" s="89">
        <f>COUNTIF(Data_Clean!$X$2:$X$251,"*neighborhood missing*")</f>
        <v>4</v>
      </c>
      <c r="D17" s="88" t="s">
        <v>343</v>
      </c>
      <c r="E17" s="88" t="s">
        <v>344</v>
      </c>
    </row>
    <row r="18" spans="1:5" ht="30" customHeight="1" x14ac:dyDescent="0.35">
      <c r="A18" s="87" t="s">
        <v>345</v>
      </c>
      <c r="B18" s="88" t="s">
        <v>346</v>
      </c>
      <c r="C18" s="89">
        <f>COUNTIF(Data_Clean!$X$2:$X$251,"*property_type standardised*")</f>
        <v>41</v>
      </c>
      <c r="D18" s="88" t="s">
        <v>347</v>
      </c>
      <c r="E18" s="88" t="s">
        <v>348</v>
      </c>
    </row>
    <row r="19" spans="1:5" ht="30" customHeight="1" x14ac:dyDescent="0.35">
      <c r="A19" s="87" t="s">
        <v>349</v>
      </c>
      <c r="B19" s="88" t="s">
        <v>350</v>
      </c>
      <c r="C19" s="89">
        <f>COUNTIF(Data_Clean!$X$2:$X$251,"*condition standardised*")</f>
        <v>36</v>
      </c>
      <c r="D19" s="88" t="s">
        <v>351</v>
      </c>
      <c r="E19" s="88" t="s">
        <v>348</v>
      </c>
    </row>
    <row r="20" spans="1:5" ht="30" customHeight="1" x14ac:dyDescent="0.35">
      <c r="A20" s="87" t="s">
        <v>349</v>
      </c>
      <c r="B20" s="88" t="s">
        <v>342</v>
      </c>
      <c r="C20" s="89">
        <f>COUNTIF(Data_Clean!$X$2:$X$251,"*condition missing*")</f>
        <v>11</v>
      </c>
      <c r="D20" s="88" t="s">
        <v>343</v>
      </c>
      <c r="E20" s="88" t="s">
        <v>352</v>
      </c>
    </row>
    <row r="21" spans="1:5" ht="30" customHeight="1" x14ac:dyDescent="0.35">
      <c r="A21" s="87" t="s">
        <v>353</v>
      </c>
      <c r="B21" s="88" t="s">
        <v>354</v>
      </c>
      <c r="C21" s="89">
        <f>COUNTIF(Data_Clean!$X$2:$X$251,"*bathrooms imputed*")</f>
        <v>7</v>
      </c>
      <c r="D21" s="88" t="s">
        <v>355</v>
      </c>
      <c r="E21" s="88" t="s">
        <v>356</v>
      </c>
    </row>
    <row r="22" spans="1:5" ht="30" customHeight="1" x14ac:dyDescent="0.35">
      <c r="A22" s="87" t="s">
        <v>357</v>
      </c>
      <c r="B22" s="88" t="s">
        <v>354</v>
      </c>
      <c r="C22" s="89">
        <f>COUNTIF(Data_Clean!$X$2:$X$251,"*living sqft imputed*")</f>
        <v>8</v>
      </c>
      <c r="D22" s="88" t="s">
        <v>358</v>
      </c>
      <c r="E22" s="88" t="s">
        <v>359</v>
      </c>
    </row>
    <row r="23" spans="1:5" ht="30" customHeight="1" x14ac:dyDescent="0.35">
      <c r="A23" s="87" t="s">
        <v>360</v>
      </c>
      <c r="B23" s="88" t="s">
        <v>361</v>
      </c>
      <c r="C23" s="89">
        <f>COUNTIF(Data_Clean!$X$2:$X$251,"*lot size set to 0*")</f>
        <v>5</v>
      </c>
      <c r="D23" s="88" t="s">
        <v>362</v>
      </c>
      <c r="E23" s="88" t="s">
        <v>363</v>
      </c>
    </row>
    <row r="24" spans="1:5" ht="30" customHeight="1" x14ac:dyDescent="0.35">
      <c r="A24" s="87" t="s">
        <v>360</v>
      </c>
      <c r="B24" s="88" t="s">
        <v>364</v>
      </c>
      <c r="C24" s="89">
        <f>COUNTIF(Data_Clean!$X$2:$X$251,"*lot size imputed*")</f>
        <v>9</v>
      </c>
      <c r="D24" s="88" t="s">
        <v>365</v>
      </c>
      <c r="E24" s="88" t="s">
        <v>366</v>
      </c>
    </row>
    <row r="25" spans="1:5" ht="30" customHeight="1" x14ac:dyDescent="0.35">
      <c r="A25" s="87" t="s">
        <v>367</v>
      </c>
      <c r="B25" s="88" t="s">
        <v>354</v>
      </c>
      <c r="C25" s="89">
        <f>COUNTIF(Data_Clean!$X$2:$X$251,"*garage imputed*")</f>
        <v>16</v>
      </c>
      <c r="D25" s="88" t="s">
        <v>368</v>
      </c>
      <c r="E25" s="88" t="s">
        <v>366</v>
      </c>
    </row>
    <row r="26" spans="1:5" ht="30" customHeight="1" x14ac:dyDescent="0.35">
      <c r="A26" s="87" t="s">
        <v>369</v>
      </c>
      <c r="B26" s="88" t="s">
        <v>354</v>
      </c>
      <c r="C26" s="89">
        <f>COUNTIF(Data_Clean!$X$2:$X$251,"*year_built left blank*")</f>
        <v>13</v>
      </c>
      <c r="D26" s="88" t="s">
        <v>370</v>
      </c>
      <c r="E26" s="88" t="s">
        <v>371</v>
      </c>
    </row>
    <row r="27" spans="1:5" ht="30" customHeight="1" x14ac:dyDescent="0.35">
      <c r="A27" s="87" t="s">
        <v>372</v>
      </c>
      <c r="B27" s="88" t="s">
        <v>354</v>
      </c>
      <c r="C27" s="89">
        <f>COUNTIF(Data_Clean!$X$2:$X$251,"*days_on_market left blank*")</f>
        <v>8</v>
      </c>
      <c r="D27" s="88" t="s">
        <v>370</v>
      </c>
      <c r="E27" s="88" t="s">
        <v>373</v>
      </c>
    </row>
    <row r="28" spans="1:5" ht="30" customHeight="1" x14ac:dyDescent="0.35">
      <c r="A28" s="87" t="s">
        <v>374</v>
      </c>
      <c r="B28" s="88" t="s">
        <v>354</v>
      </c>
      <c r="C28" s="89">
        <f>COUNTIF(Data_Clean!$X$2:$X$251,"*commission left blank*")</f>
        <v>17</v>
      </c>
      <c r="D28" s="88" t="s">
        <v>370</v>
      </c>
      <c r="E28" s="88" t="s">
        <v>375</v>
      </c>
    </row>
    <row r="29" spans="1:5" ht="30" customHeight="1" x14ac:dyDescent="0.35">
      <c r="A29" s="87" t="s">
        <v>376</v>
      </c>
      <c r="B29" s="88" t="s">
        <v>377</v>
      </c>
      <c r="C29" s="89">
        <f>Analysis!G25</f>
        <v>10</v>
      </c>
      <c r="D29" s="88" t="s">
        <v>378</v>
      </c>
      <c r="E29" s="88" t="s">
        <v>379</v>
      </c>
    </row>
    <row r="31" spans="1:5" x14ac:dyDescent="0.35">
      <c r="A31" s="65" t="s">
        <v>380</v>
      </c>
      <c r="B31" s="66"/>
      <c r="C31" s="66"/>
      <c r="D31" s="66"/>
      <c r="E31" s="66"/>
    </row>
    <row r="32" spans="1:5" ht="30" customHeight="1" x14ac:dyDescent="0.35">
      <c r="A32" s="23" t="s">
        <v>329</v>
      </c>
      <c r="B32" s="24" t="s">
        <v>381</v>
      </c>
      <c r="C32" s="24" t="s">
        <v>382</v>
      </c>
      <c r="D32" s="24" t="s">
        <v>383</v>
      </c>
      <c r="E32" s="24"/>
    </row>
    <row r="33" spans="1:4" x14ac:dyDescent="0.35">
      <c r="A33" s="74" t="s">
        <v>338</v>
      </c>
      <c r="B33" s="90" t="s">
        <v>72</v>
      </c>
      <c r="C33" s="91">
        <f>SUMPRODUCT(--EXACT(Data_Raw!$C$2:$C$251,B33))</f>
        <v>34</v>
      </c>
      <c r="D33" s="74" t="s">
        <v>72</v>
      </c>
    </row>
    <row r="34" spans="1:4" x14ac:dyDescent="0.35">
      <c r="A34" s="74" t="s">
        <v>338</v>
      </c>
      <c r="B34" s="90" t="s">
        <v>384</v>
      </c>
      <c r="C34" s="91">
        <f>SUMPRODUCT(--EXACT(Data_Raw!$C$2:$C$251,B34))</f>
        <v>3</v>
      </c>
      <c r="D34" s="74" t="s">
        <v>72</v>
      </c>
    </row>
    <row r="35" spans="1:4" x14ac:dyDescent="0.35">
      <c r="A35" s="74" t="s">
        <v>338</v>
      </c>
      <c r="B35" s="90" t="s">
        <v>385</v>
      </c>
      <c r="C35" s="91">
        <f>SUMPRODUCT(--EXACT(Data_Raw!$C$2:$C$251,B35))</f>
        <v>2</v>
      </c>
      <c r="D35" s="74" t="s">
        <v>72</v>
      </c>
    </row>
    <row r="36" spans="1:4" x14ac:dyDescent="0.35">
      <c r="A36" s="74" t="s">
        <v>338</v>
      </c>
      <c r="B36" s="90" t="s">
        <v>386</v>
      </c>
      <c r="C36" s="91">
        <f>SUMPRODUCT(--EXACT(Data_Raw!$C$2:$C$251,B36))</f>
        <v>3</v>
      </c>
      <c r="D36" s="74" t="s">
        <v>73</v>
      </c>
    </row>
    <row r="37" spans="1:4" x14ac:dyDescent="0.35">
      <c r="A37" s="74" t="s">
        <v>338</v>
      </c>
      <c r="B37" s="90" t="s">
        <v>387</v>
      </c>
      <c r="C37" s="91">
        <f>SUMPRODUCT(--EXACT(Data_Raw!$C$2:$C$251,B37))</f>
        <v>1</v>
      </c>
      <c r="D37" s="74" t="s">
        <v>73</v>
      </c>
    </row>
    <row r="38" spans="1:4" x14ac:dyDescent="0.35">
      <c r="A38" s="74" t="s">
        <v>338</v>
      </c>
      <c r="B38" s="90" t="s">
        <v>73</v>
      </c>
      <c r="C38" s="91">
        <f>SUMPRODUCT(--EXACT(Data_Raw!$C$2:$C$251,B38))</f>
        <v>31</v>
      </c>
      <c r="D38" s="74" t="s">
        <v>73</v>
      </c>
    </row>
    <row r="39" spans="1:4" x14ac:dyDescent="0.35">
      <c r="A39" s="74" t="s">
        <v>338</v>
      </c>
      <c r="B39" s="90" t="s">
        <v>388</v>
      </c>
      <c r="C39" s="91">
        <f>SUMPRODUCT(--EXACT(Data_Raw!$C$2:$C$251,B39))</f>
        <v>1</v>
      </c>
      <c r="D39" s="74" t="s">
        <v>73</v>
      </c>
    </row>
    <row r="40" spans="1:4" x14ac:dyDescent="0.35">
      <c r="A40" s="74" t="s">
        <v>338</v>
      </c>
      <c r="B40" s="90" t="s">
        <v>74</v>
      </c>
      <c r="C40" s="91">
        <f>SUMPRODUCT(--EXACT(Data_Raw!$C$2:$C$251,B40))</f>
        <v>44</v>
      </c>
      <c r="D40" s="74" t="s">
        <v>74</v>
      </c>
    </row>
    <row r="41" spans="1:4" x14ac:dyDescent="0.35">
      <c r="A41" s="74" t="s">
        <v>338</v>
      </c>
      <c r="B41" s="90" t="s">
        <v>389</v>
      </c>
      <c r="C41" s="91">
        <f>SUMPRODUCT(--EXACT(Data_Raw!$C$2:$C$251,B41))</f>
        <v>4</v>
      </c>
      <c r="D41" s="74" t="s">
        <v>74</v>
      </c>
    </row>
    <row r="42" spans="1:4" x14ac:dyDescent="0.35">
      <c r="A42" s="74" t="s">
        <v>338</v>
      </c>
      <c r="B42" s="90" t="s">
        <v>390</v>
      </c>
      <c r="C42" s="91">
        <f>SUMPRODUCT(--EXACT(Data_Raw!$C$2:$C$251,B42))</f>
        <v>1</v>
      </c>
      <c r="D42" s="74" t="s">
        <v>74</v>
      </c>
    </row>
    <row r="43" spans="1:4" x14ac:dyDescent="0.35">
      <c r="A43" s="74" t="s">
        <v>338</v>
      </c>
      <c r="B43" s="90" t="s">
        <v>391</v>
      </c>
      <c r="C43" s="91">
        <f>SUMPRODUCT(--EXACT(Data_Raw!$C$2:$C$251,B43))</f>
        <v>2</v>
      </c>
      <c r="D43" s="74" t="s">
        <v>74</v>
      </c>
    </row>
    <row r="44" spans="1:4" x14ac:dyDescent="0.35">
      <c r="A44" s="74" t="s">
        <v>338</v>
      </c>
      <c r="B44" s="90" t="s">
        <v>392</v>
      </c>
      <c r="C44" s="91">
        <f>SUMPRODUCT(--EXACT(Data_Raw!$C$2:$C$251,B44))</f>
        <v>5</v>
      </c>
      <c r="D44" s="74" t="s">
        <v>75</v>
      </c>
    </row>
    <row r="45" spans="1:4" x14ac:dyDescent="0.35">
      <c r="A45" s="74" t="s">
        <v>338</v>
      </c>
      <c r="B45" s="90" t="s">
        <v>75</v>
      </c>
      <c r="C45" s="91">
        <f>SUMPRODUCT(--EXACT(Data_Raw!$C$2:$C$251,B45))</f>
        <v>50</v>
      </c>
      <c r="D45" s="74" t="s">
        <v>75</v>
      </c>
    </row>
    <row r="46" spans="1:4" x14ac:dyDescent="0.35">
      <c r="A46" s="74" t="s">
        <v>338</v>
      </c>
      <c r="B46" s="90" t="s">
        <v>393</v>
      </c>
      <c r="C46" s="91">
        <f>SUMPRODUCT(--EXACT(Data_Raw!$C$2:$C$251,B46))</f>
        <v>1</v>
      </c>
      <c r="D46" s="74" t="s">
        <v>75</v>
      </c>
    </row>
    <row r="47" spans="1:4" x14ac:dyDescent="0.35">
      <c r="A47" s="74" t="s">
        <v>338</v>
      </c>
      <c r="B47" s="90" t="s">
        <v>394</v>
      </c>
      <c r="C47" s="91">
        <f>SUMPRODUCT(--EXACT(Data_Raw!$C$2:$C$251,B47))</f>
        <v>2</v>
      </c>
      <c r="D47" s="74" t="s">
        <v>75</v>
      </c>
    </row>
    <row r="48" spans="1:4" x14ac:dyDescent="0.35">
      <c r="A48" s="74" t="s">
        <v>338</v>
      </c>
      <c r="B48" s="90" t="s">
        <v>395</v>
      </c>
      <c r="C48" s="91">
        <f>SUMPRODUCT(--EXACT(Data_Raw!$C$2:$C$251,B48))</f>
        <v>3</v>
      </c>
      <c r="D48" s="74" t="s">
        <v>76</v>
      </c>
    </row>
    <row r="49" spans="1:5" x14ac:dyDescent="0.35">
      <c r="A49" s="74" t="s">
        <v>338</v>
      </c>
      <c r="B49" s="90" t="s">
        <v>76</v>
      </c>
      <c r="C49" s="91">
        <f>SUMPRODUCT(--EXACT(Data_Raw!$C$2:$C$251,B49))</f>
        <v>49</v>
      </c>
      <c r="D49" s="74" t="s">
        <v>76</v>
      </c>
    </row>
    <row r="50" spans="1:5" x14ac:dyDescent="0.35">
      <c r="A50" s="74" t="s">
        <v>338</v>
      </c>
      <c r="B50" s="90" t="s">
        <v>396</v>
      </c>
      <c r="C50" s="91">
        <f>SUMPRODUCT(--EXACT(Data_Raw!$C$2:$C$251,B50))</f>
        <v>6</v>
      </c>
      <c r="D50" s="74" t="s">
        <v>76</v>
      </c>
      <c r="E50" s="92" t="s">
        <v>397</v>
      </c>
    </row>
    <row r="51" spans="1:5" x14ac:dyDescent="0.35">
      <c r="A51" s="74" t="s">
        <v>338</v>
      </c>
      <c r="B51" s="90" t="s">
        <v>398</v>
      </c>
      <c r="C51" s="91">
        <f>SUMPRODUCT(--EXACT(Data_Raw!$C$2:$C$251,B51))</f>
        <v>4</v>
      </c>
      <c r="D51" s="74" t="s">
        <v>76</v>
      </c>
    </row>
    <row r="52" spans="1:5" x14ac:dyDescent="0.35">
      <c r="A52" s="93" t="s">
        <v>338</v>
      </c>
      <c r="B52" s="93" t="s">
        <v>399</v>
      </c>
      <c r="C52" s="94">
        <f>COUNTBLANK(Data_Raw!$C$2:$C$251)</f>
        <v>4</v>
      </c>
      <c r="D52" s="93" t="s">
        <v>182</v>
      </c>
    </row>
    <row r="53" spans="1:5" x14ac:dyDescent="0.35">
      <c r="A53" s="74" t="s">
        <v>345</v>
      </c>
      <c r="B53" s="90" t="s">
        <v>400</v>
      </c>
      <c r="C53" s="91">
        <f>SUMPRODUCT(--EXACT(Data_Raw!$D$2:$D$251,B53))</f>
        <v>3</v>
      </c>
      <c r="D53" s="74" t="s">
        <v>26</v>
      </c>
    </row>
    <row r="54" spans="1:5" x14ac:dyDescent="0.35">
      <c r="A54" s="74" t="s">
        <v>345</v>
      </c>
      <c r="B54" s="90" t="s">
        <v>26</v>
      </c>
      <c r="C54" s="91">
        <f>SUMPRODUCT(--EXACT(Data_Raw!$D$2:$D$251,B54))</f>
        <v>51</v>
      </c>
      <c r="D54" s="74" t="s">
        <v>26</v>
      </c>
    </row>
    <row r="55" spans="1:5" x14ac:dyDescent="0.35">
      <c r="A55" s="74" t="s">
        <v>345</v>
      </c>
      <c r="B55" s="90" t="s">
        <v>401</v>
      </c>
      <c r="C55" s="91">
        <f>SUMPRODUCT(--EXACT(Data_Raw!$D$2:$D$251,B55))</f>
        <v>2</v>
      </c>
      <c r="D55" s="74" t="s">
        <v>26</v>
      </c>
    </row>
    <row r="56" spans="1:5" x14ac:dyDescent="0.35">
      <c r="A56" s="74" t="s">
        <v>345</v>
      </c>
      <c r="B56" s="90" t="s">
        <v>402</v>
      </c>
      <c r="C56" s="91">
        <f>SUMPRODUCT(--EXACT(Data_Raw!$D$2:$D$251,B56))</f>
        <v>1</v>
      </c>
      <c r="D56" s="74" t="s">
        <v>26</v>
      </c>
    </row>
    <row r="57" spans="1:5" x14ac:dyDescent="0.35">
      <c r="A57" s="74" t="s">
        <v>345</v>
      </c>
      <c r="B57" s="90" t="s">
        <v>403</v>
      </c>
      <c r="C57" s="91">
        <f>SUMPRODUCT(--EXACT(Data_Raw!$D$2:$D$251,B57))</f>
        <v>5</v>
      </c>
      <c r="D57" s="74" t="s">
        <v>27</v>
      </c>
    </row>
    <row r="58" spans="1:5" x14ac:dyDescent="0.35">
      <c r="A58" s="74" t="s">
        <v>345</v>
      </c>
      <c r="B58" s="90" t="s">
        <v>27</v>
      </c>
      <c r="C58" s="91">
        <f>SUMPRODUCT(--EXACT(Data_Raw!$D$2:$D$251,B58))</f>
        <v>119</v>
      </c>
      <c r="D58" s="74" t="s">
        <v>27</v>
      </c>
    </row>
    <row r="59" spans="1:5" x14ac:dyDescent="0.35">
      <c r="A59" s="74" t="s">
        <v>345</v>
      </c>
      <c r="B59" s="90" t="s">
        <v>404</v>
      </c>
      <c r="C59" s="91">
        <f>SUMPRODUCT(--EXACT(Data_Raw!$D$2:$D$251,B59))</f>
        <v>6</v>
      </c>
      <c r="D59" s="74" t="s">
        <v>27</v>
      </c>
    </row>
    <row r="60" spans="1:5" x14ac:dyDescent="0.35">
      <c r="A60" s="74" t="s">
        <v>345</v>
      </c>
      <c r="B60" s="90" t="s">
        <v>405</v>
      </c>
      <c r="C60" s="91">
        <f>SUMPRODUCT(--EXACT(Data_Raw!$D$2:$D$251,B60))</f>
        <v>6</v>
      </c>
      <c r="D60" s="74" t="s">
        <v>27</v>
      </c>
    </row>
    <row r="61" spans="1:5" x14ac:dyDescent="0.35">
      <c r="A61" s="74" t="s">
        <v>345</v>
      </c>
      <c r="B61" s="90" t="s">
        <v>406</v>
      </c>
      <c r="C61" s="91">
        <f>SUMPRODUCT(--EXACT(Data_Raw!$D$2:$D$251,B61))</f>
        <v>10</v>
      </c>
      <c r="D61" s="74" t="s">
        <v>27</v>
      </c>
    </row>
    <row r="62" spans="1:5" x14ac:dyDescent="0.35">
      <c r="A62" s="74" t="s">
        <v>345</v>
      </c>
      <c r="B62" s="90" t="s">
        <v>407</v>
      </c>
      <c r="C62" s="91">
        <f>SUMPRODUCT(--EXACT(Data_Raw!$D$2:$D$251,B62))</f>
        <v>2</v>
      </c>
      <c r="D62" s="74" t="s">
        <v>28</v>
      </c>
    </row>
    <row r="63" spans="1:5" x14ac:dyDescent="0.35">
      <c r="A63" s="74" t="s">
        <v>345</v>
      </c>
      <c r="B63" s="90" t="s">
        <v>408</v>
      </c>
      <c r="C63" s="91">
        <f>SUMPRODUCT(--EXACT(Data_Raw!$D$2:$D$251,B63))</f>
        <v>5</v>
      </c>
      <c r="D63" s="74" t="s">
        <v>28</v>
      </c>
    </row>
    <row r="64" spans="1:5" x14ac:dyDescent="0.35">
      <c r="A64" s="74" t="s">
        <v>345</v>
      </c>
      <c r="B64" s="90" t="s">
        <v>28</v>
      </c>
      <c r="C64" s="91">
        <f>SUMPRODUCT(--EXACT(Data_Raw!$D$2:$D$251,B64))</f>
        <v>39</v>
      </c>
      <c r="D64" s="74" t="s">
        <v>28</v>
      </c>
    </row>
    <row r="65" spans="1:4" x14ac:dyDescent="0.35">
      <c r="A65" s="74" t="s">
        <v>345</v>
      </c>
      <c r="B65" s="90" t="s">
        <v>409</v>
      </c>
      <c r="C65" s="91">
        <f>SUMPRODUCT(--EXACT(Data_Raw!$D$2:$D$251,B65))</f>
        <v>1</v>
      </c>
      <c r="D65" s="74" t="s">
        <v>28</v>
      </c>
    </row>
    <row r="66" spans="1:4" x14ac:dyDescent="0.35">
      <c r="A66" s="93" t="s">
        <v>345</v>
      </c>
      <c r="B66" s="93" t="s">
        <v>399</v>
      </c>
      <c r="C66" s="94">
        <f>COUNTBLANK(Data_Raw!$D$2:$D$251)</f>
        <v>0</v>
      </c>
      <c r="D66" s="93" t="s">
        <v>182</v>
      </c>
    </row>
    <row r="67" spans="1:4" x14ac:dyDescent="0.35">
      <c r="A67" s="74" t="s">
        <v>349</v>
      </c>
      <c r="B67" s="90" t="s">
        <v>410</v>
      </c>
      <c r="C67" s="91">
        <f>SUMPRODUCT(--EXACT(Data_Raw!$K$2:$K$251,B67))</f>
        <v>2</v>
      </c>
      <c r="D67" s="74" t="s">
        <v>178</v>
      </c>
    </row>
    <row r="68" spans="1:4" x14ac:dyDescent="0.35">
      <c r="A68" s="74" t="s">
        <v>349</v>
      </c>
      <c r="B68" s="90" t="s">
        <v>178</v>
      </c>
      <c r="C68" s="91">
        <f>SUMPRODUCT(--EXACT(Data_Raw!$K$2:$K$251,B68))</f>
        <v>54</v>
      </c>
      <c r="D68" s="74" t="s">
        <v>178</v>
      </c>
    </row>
    <row r="69" spans="1:4" x14ac:dyDescent="0.35">
      <c r="A69" s="74" t="s">
        <v>349</v>
      </c>
      <c r="B69" s="90" t="s">
        <v>411</v>
      </c>
      <c r="C69" s="91">
        <f>SUMPRODUCT(--EXACT(Data_Raw!$K$2:$K$251,B69))</f>
        <v>6</v>
      </c>
      <c r="D69" s="74" t="s">
        <v>178</v>
      </c>
    </row>
    <row r="70" spans="1:4" x14ac:dyDescent="0.35">
      <c r="A70" s="74" t="s">
        <v>349</v>
      </c>
      <c r="B70" s="90" t="s">
        <v>180</v>
      </c>
      <c r="C70" s="91">
        <f>SUMPRODUCT(--EXACT(Data_Raw!$K$2:$K$251,B70))</f>
        <v>51</v>
      </c>
      <c r="D70" s="74" t="s">
        <v>180</v>
      </c>
    </row>
    <row r="71" spans="1:4" x14ac:dyDescent="0.35">
      <c r="A71" s="74" t="s">
        <v>349</v>
      </c>
      <c r="B71" s="90" t="s">
        <v>412</v>
      </c>
      <c r="C71" s="91">
        <f>SUMPRODUCT(--EXACT(Data_Raw!$K$2:$K$251,B71))</f>
        <v>9</v>
      </c>
      <c r="D71" s="74" t="s">
        <v>180</v>
      </c>
    </row>
    <row r="72" spans="1:4" x14ac:dyDescent="0.35">
      <c r="A72" s="74" t="s">
        <v>349</v>
      </c>
      <c r="B72" s="90" t="s">
        <v>413</v>
      </c>
      <c r="C72" s="91">
        <f>SUMPRODUCT(--EXACT(Data_Raw!$K$2:$K$251,B72))</f>
        <v>8</v>
      </c>
      <c r="D72" s="74" t="s">
        <v>179</v>
      </c>
    </row>
    <row r="73" spans="1:4" x14ac:dyDescent="0.35">
      <c r="A73" s="74" t="s">
        <v>349</v>
      </c>
      <c r="B73" s="90" t="s">
        <v>179</v>
      </c>
      <c r="C73" s="91">
        <f>SUMPRODUCT(--EXACT(Data_Raw!$K$2:$K$251,B73))</f>
        <v>89</v>
      </c>
      <c r="D73" s="74" t="s">
        <v>179</v>
      </c>
    </row>
    <row r="74" spans="1:4" x14ac:dyDescent="0.35">
      <c r="A74" s="74" t="s">
        <v>349</v>
      </c>
      <c r="B74" s="90" t="s">
        <v>414</v>
      </c>
      <c r="C74" s="91">
        <f>SUMPRODUCT(--EXACT(Data_Raw!$K$2:$K$251,B74))</f>
        <v>8</v>
      </c>
      <c r="D74" s="74" t="s">
        <v>179</v>
      </c>
    </row>
    <row r="75" spans="1:4" x14ac:dyDescent="0.35">
      <c r="A75" s="74" t="s">
        <v>349</v>
      </c>
      <c r="B75" s="90" t="s">
        <v>181</v>
      </c>
      <c r="C75" s="91">
        <f>SUMPRODUCT(--EXACT(Data_Raw!$K$2:$K$251,B75))</f>
        <v>9</v>
      </c>
      <c r="D75" s="74" t="s">
        <v>181</v>
      </c>
    </row>
    <row r="76" spans="1:4" x14ac:dyDescent="0.35">
      <c r="A76" s="74" t="s">
        <v>349</v>
      </c>
      <c r="B76" s="90" t="s">
        <v>415</v>
      </c>
      <c r="C76" s="91">
        <f>SUMPRODUCT(--EXACT(Data_Raw!$K$2:$K$251,B76))</f>
        <v>2</v>
      </c>
      <c r="D76" s="74" t="s">
        <v>181</v>
      </c>
    </row>
    <row r="77" spans="1:4" x14ac:dyDescent="0.35">
      <c r="A77" s="74" t="s">
        <v>349</v>
      </c>
      <c r="B77" s="90" t="s">
        <v>416</v>
      </c>
      <c r="C77" s="91">
        <f>SUMPRODUCT(--EXACT(Data_Raw!$K$2:$K$251,B77))</f>
        <v>1</v>
      </c>
      <c r="D77" s="74" t="s">
        <v>182</v>
      </c>
    </row>
    <row r="78" spans="1:4" x14ac:dyDescent="0.35">
      <c r="A78" s="93" t="s">
        <v>349</v>
      </c>
      <c r="B78" s="93" t="s">
        <v>399</v>
      </c>
      <c r="C78" s="94">
        <f>COUNTBLANK(Data_Raw!$K$2:$K$251)</f>
        <v>11</v>
      </c>
      <c r="D78" s="93" t="s">
        <v>182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1F3A5F"/>
  </sheetPr>
  <dimension ref="A1:X251"/>
  <sheetViews>
    <sheetView zoomScaleNormal="100" workbookViewId="0">
      <pane xSplit="3" ySplit="1" topLeftCell="D2" activePane="bottomRight" state="frozen"/>
      <selection pane="topRight" activeCell="D1" sqref="D1"/>
      <selection pane="bottomLeft" activeCell="A2" sqref="A2"/>
      <selection pane="bottomRight"/>
    </sheetView>
  </sheetViews>
  <sheetFormatPr defaultColWidth="8.6328125" defaultRowHeight="14.5" x14ac:dyDescent="0.35"/>
  <cols>
    <col min="1" max="1" width="9" customWidth="1"/>
    <col min="2" max="2" width="12" customWidth="1"/>
    <col min="3" max="3" width="15" customWidth="1"/>
    <col min="4" max="4" width="14" customWidth="1"/>
    <col min="5" max="7" width="9" customWidth="1"/>
    <col min="8" max="8" width="12" customWidth="1"/>
    <col min="9" max="9" width="10" customWidth="1"/>
    <col min="10" max="10" width="9" customWidth="1"/>
    <col min="11" max="11" width="11" customWidth="1"/>
    <col min="12" max="13" width="12" customWidth="1"/>
    <col min="14" max="14" width="11" customWidth="1"/>
    <col min="15" max="15" width="12" customWidth="1"/>
    <col min="16" max="18" width="11" customWidth="1"/>
    <col min="19" max="20" width="12" customWidth="1"/>
    <col min="21" max="21" width="11" customWidth="1"/>
    <col min="22" max="22" width="14" customWidth="1"/>
    <col min="23" max="23" width="16" customWidth="1"/>
    <col min="24" max="24" width="44" customWidth="1"/>
  </cols>
  <sheetData>
    <row r="1" spans="1:24" ht="31.5" customHeight="1" x14ac:dyDescent="0.35">
      <c r="A1" s="95" t="s">
        <v>417</v>
      </c>
      <c r="B1" s="95" t="s">
        <v>334</v>
      </c>
      <c r="C1" s="95" t="s">
        <v>338</v>
      </c>
      <c r="D1" s="95" t="s">
        <v>345</v>
      </c>
      <c r="E1" s="95" t="s">
        <v>418</v>
      </c>
      <c r="F1" s="95" t="s">
        <v>353</v>
      </c>
      <c r="G1" s="95" t="s">
        <v>357</v>
      </c>
      <c r="H1" s="95" t="s">
        <v>360</v>
      </c>
      <c r="I1" s="95" t="s">
        <v>369</v>
      </c>
      <c r="J1" s="95" t="s">
        <v>367</v>
      </c>
      <c r="K1" s="95" t="s">
        <v>349</v>
      </c>
      <c r="L1" s="95" t="s">
        <v>419</v>
      </c>
      <c r="M1" s="95" t="s">
        <v>420</v>
      </c>
      <c r="N1" s="95" t="s">
        <v>372</v>
      </c>
      <c r="O1" s="95" t="s">
        <v>374</v>
      </c>
      <c r="P1" s="96" t="s">
        <v>421</v>
      </c>
      <c r="Q1" s="96" t="s">
        <v>422</v>
      </c>
      <c r="R1" s="96" t="s">
        <v>423</v>
      </c>
      <c r="S1" s="96" t="s">
        <v>424</v>
      </c>
      <c r="T1" s="96" t="s">
        <v>425</v>
      </c>
      <c r="U1" s="96" t="s">
        <v>426</v>
      </c>
      <c r="V1" s="96" t="s">
        <v>427</v>
      </c>
      <c r="W1" s="96" t="s">
        <v>428</v>
      </c>
      <c r="X1" s="97" t="s">
        <v>429</v>
      </c>
    </row>
    <row r="2" spans="1:24" x14ac:dyDescent="0.35">
      <c r="A2" s="62">
        <v>10144</v>
      </c>
      <c r="B2" s="98">
        <v>45658</v>
      </c>
      <c r="C2" s="62" t="s">
        <v>74</v>
      </c>
      <c r="D2" s="62" t="s">
        <v>28</v>
      </c>
      <c r="E2" s="62">
        <v>3</v>
      </c>
      <c r="F2" s="62">
        <v>3</v>
      </c>
      <c r="G2" s="99">
        <v>1500</v>
      </c>
      <c r="H2" s="99">
        <v>1400</v>
      </c>
      <c r="I2" s="100">
        <v>2004</v>
      </c>
      <c r="J2" s="62">
        <v>3</v>
      </c>
      <c r="K2" s="62" t="s">
        <v>180</v>
      </c>
      <c r="L2" s="101">
        <v>297000</v>
      </c>
      <c r="M2" s="101">
        <v>290000</v>
      </c>
      <c r="N2" s="62">
        <v>82</v>
      </c>
      <c r="O2" s="102">
        <v>2.57</v>
      </c>
      <c r="P2" s="103">
        <f t="shared" ref="P2:P65" si="0">DATE(YEAR(B2),MONTH(B2),1)</f>
        <v>45658</v>
      </c>
      <c r="Q2" s="104">
        <f t="shared" ref="Q2:Q65" si="1">M2/G2</f>
        <v>193.33333333333334</v>
      </c>
      <c r="R2" s="105">
        <f t="shared" ref="R2:R65" si="2">M2/L2</f>
        <v>0.97643097643097643</v>
      </c>
      <c r="S2" s="101">
        <f t="shared" ref="S2:S65" si="3">M2-L2</f>
        <v>-7000</v>
      </c>
      <c r="T2" s="104">
        <f t="shared" ref="T2:T65" si="4">IF(O2="","",M2*O2/100)</f>
        <v>7453</v>
      </c>
      <c r="U2" s="62">
        <f t="shared" ref="U2:U65" si="5">IF(I2="","",YEAR(B2)-I2)</f>
        <v>21</v>
      </c>
      <c r="V2" s="62" t="str">
        <f t="shared" ref="V2:V65" si="6">LOOKUP(M2,bin_lo,bin_lbl)</f>
        <v>$200-300K</v>
      </c>
      <c r="W2" s="62" t="str">
        <f t="shared" ref="W2:W65" si="7">TRIM(IF(M2&gt;f_price_hi,"High price ","")&amp;IF(AND(N2&lt;&gt;"",N2&gt;f_dom_hi),"Long DOM ","")&amp;IF(OR(Q2&gt;f_psf_hi,Q2&lt;f_psf_lo),"$/sqft ",""))</f>
        <v/>
      </c>
      <c r="X2" s="62"/>
    </row>
    <row r="3" spans="1:24" x14ac:dyDescent="0.35">
      <c r="A3" s="62">
        <v>10067</v>
      </c>
      <c r="B3" s="98">
        <v>45659</v>
      </c>
      <c r="C3" s="62" t="s">
        <v>74</v>
      </c>
      <c r="D3" s="62" t="s">
        <v>27</v>
      </c>
      <c r="E3" s="62">
        <v>4</v>
      </c>
      <c r="F3" s="62">
        <v>2.5</v>
      </c>
      <c r="G3" s="99">
        <v>2370</v>
      </c>
      <c r="H3" s="99">
        <v>7660</v>
      </c>
      <c r="I3" s="100">
        <v>1996</v>
      </c>
      <c r="J3" s="62">
        <v>3</v>
      </c>
      <c r="K3" s="62" t="s">
        <v>180</v>
      </c>
      <c r="L3" s="101">
        <v>446000</v>
      </c>
      <c r="M3" s="101">
        <v>451000</v>
      </c>
      <c r="N3" s="62">
        <v>53</v>
      </c>
      <c r="O3" s="102">
        <v>2.71</v>
      </c>
      <c r="P3" s="103">
        <f t="shared" si="0"/>
        <v>45658</v>
      </c>
      <c r="Q3" s="104">
        <f t="shared" si="1"/>
        <v>190.29535864978902</v>
      </c>
      <c r="R3" s="105">
        <f t="shared" si="2"/>
        <v>1.0112107623318385</v>
      </c>
      <c r="S3" s="101">
        <f t="shared" si="3"/>
        <v>5000</v>
      </c>
      <c r="T3" s="104">
        <f t="shared" si="4"/>
        <v>12222.1</v>
      </c>
      <c r="U3" s="62">
        <f t="shared" si="5"/>
        <v>29</v>
      </c>
      <c r="V3" s="62" t="str">
        <f t="shared" si="6"/>
        <v>$400-500K</v>
      </c>
      <c r="W3" s="62" t="str">
        <f t="shared" si="7"/>
        <v/>
      </c>
      <c r="X3" s="62"/>
    </row>
    <row r="4" spans="1:24" x14ac:dyDescent="0.35">
      <c r="A4" s="62">
        <v>10028</v>
      </c>
      <c r="B4" s="98">
        <v>45661</v>
      </c>
      <c r="C4" s="62" t="s">
        <v>75</v>
      </c>
      <c r="D4" s="62" t="s">
        <v>27</v>
      </c>
      <c r="E4" s="62">
        <v>3</v>
      </c>
      <c r="F4" s="62">
        <v>2.5</v>
      </c>
      <c r="G4" s="99">
        <v>1510</v>
      </c>
      <c r="H4" s="99">
        <v>4520</v>
      </c>
      <c r="I4" s="100">
        <v>2006</v>
      </c>
      <c r="J4" s="62">
        <v>2</v>
      </c>
      <c r="K4" s="62" t="s">
        <v>179</v>
      </c>
      <c r="L4" s="101">
        <v>404000</v>
      </c>
      <c r="M4" s="101">
        <v>384000</v>
      </c>
      <c r="N4" s="62">
        <v>40</v>
      </c>
      <c r="O4" s="102">
        <v>2.79</v>
      </c>
      <c r="P4" s="103">
        <f t="shared" si="0"/>
        <v>45658</v>
      </c>
      <c r="Q4" s="104">
        <f t="shared" si="1"/>
        <v>254.3046357615894</v>
      </c>
      <c r="R4" s="105">
        <f t="shared" si="2"/>
        <v>0.95049504950495045</v>
      </c>
      <c r="S4" s="101">
        <f t="shared" si="3"/>
        <v>-20000</v>
      </c>
      <c r="T4" s="104">
        <f t="shared" si="4"/>
        <v>10713.6</v>
      </c>
      <c r="U4" s="62">
        <f t="shared" si="5"/>
        <v>19</v>
      </c>
      <c r="V4" s="62" t="str">
        <f t="shared" si="6"/>
        <v>$300-400K</v>
      </c>
      <c r="W4" s="62" t="str">
        <f t="shared" si="7"/>
        <v/>
      </c>
      <c r="X4" s="62"/>
    </row>
    <row r="5" spans="1:24" x14ac:dyDescent="0.35">
      <c r="A5" s="62">
        <v>10082</v>
      </c>
      <c r="B5" s="98">
        <v>45661</v>
      </c>
      <c r="C5" s="62" t="s">
        <v>76</v>
      </c>
      <c r="D5" s="62" t="s">
        <v>27</v>
      </c>
      <c r="E5" s="62">
        <v>3</v>
      </c>
      <c r="F5" s="62">
        <v>2.5</v>
      </c>
      <c r="G5" s="99">
        <v>1880</v>
      </c>
      <c r="H5" s="99">
        <v>5670</v>
      </c>
      <c r="I5" s="100">
        <v>1978</v>
      </c>
      <c r="J5" s="62">
        <v>1</v>
      </c>
      <c r="K5" s="62" t="s">
        <v>179</v>
      </c>
      <c r="L5" s="101">
        <v>434000</v>
      </c>
      <c r="M5" s="101">
        <v>442000</v>
      </c>
      <c r="N5" s="62">
        <v>45</v>
      </c>
      <c r="O5" s="102"/>
      <c r="P5" s="103">
        <f t="shared" si="0"/>
        <v>45658</v>
      </c>
      <c r="Q5" s="104">
        <f t="shared" si="1"/>
        <v>235.10638297872342</v>
      </c>
      <c r="R5" s="105">
        <f t="shared" si="2"/>
        <v>1.0184331797235022</v>
      </c>
      <c r="S5" s="101">
        <f t="shared" si="3"/>
        <v>8000</v>
      </c>
      <c r="T5" s="104" t="str">
        <f t="shared" si="4"/>
        <v/>
      </c>
      <c r="U5" s="62">
        <f t="shared" si="5"/>
        <v>47</v>
      </c>
      <c r="V5" s="62" t="str">
        <f t="shared" si="6"/>
        <v>$400-500K</v>
      </c>
      <c r="W5" s="62" t="str">
        <f t="shared" si="7"/>
        <v/>
      </c>
      <c r="X5" s="62" t="s">
        <v>430</v>
      </c>
    </row>
    <row r="6" spans="1:24" x14ac:dyDescent="0.35">
      <c r="A6" s="62">
        <v>10043</v>
      </c>
      <c r="B6" s="98">
        <v>45664</v>
      </c>
      <c r="C6" s="62" t="s">
        <v>73</v>
      </c>
      <c r="D6" s="62" t="s">
        <v>26</v>
      </c>
      <c r="E6" s="62">
        <v>1</v>
      </c>
      <c r="F6" s="62">
        <v>1</v>
      </c>
      <c r="G6" s="99">
        <v>1110</v>
      </c>
      <c r="H6" s="99">
        <v>0</v>
      </c>
      <c r="I6" s="100">
        <v>1962</v>
      </c>
      <c r="J6" s="62">
        <v>0</v>
      </c>
      <c r="K6" s="62" t="s">
        <v>178</v>
      </c>
      <c r="L6" s="101">
        <v>364000</v>
      </c>
      <c r="M6" s="101">
        <v>355000</v>
      </c>
      <c r="N6" s="62">
        <v>81</v>
      </c>
      <c r="O6" s="102">
        <v>3.02</v>
      </c>
      <c r="P6" s="103">
        <f t="shared" si="0"/>
        <v>45658</v>
      </c>
      <c r="Q6" s="104">
        <f t="shared" si="1"/>
        <v>319.81981981981983</v>
      </c>
      <c r="R6" s="105">
        <f t="shared" si="2"/>
        <v>0.97527472527472525</v>
      </c>
      <c r="S6" s="101">
        <f t="shared" si="3"/>
        <v>-9000</v>
      </c>
      <c r="T6" s="104">
        <f t="shared" si="4"/>
        <v>10721</v>
      </c>
      <c r="U6" s="62">
        <f t="shared" si="5"/>
        <v>63</v>
      </c>
      <c r="V6" s="62" t="str">
        <f t="shared" si="6"/>
        <v>$300-400K</v>
      </c>
      <c r="W6" s="62" t="str">
        <f t="shared" si="7"/>
        <v/>
      </c>
      <c r="X6" s="62" t="s">
        <v>431</v>
      </c>
    </row>
    <row r="7" spans="1:24" x14ac:dyDescent="0.35">
      <c r="A7" s="62">
        <v>10095</v>
      </c>
      <c r="B7" s="98">
        <v>45669</v>
      </c>
      <c r="C7" s="62" t="s">
        <v>76</v>
      </c>
      <c r="D7" s="62" t="s">
        <v>28</v>
      </c>
      <c r="E7" s="62">
        <v>3</v>
      </c>
      <c r="F7" s="62">
        <v>2.5</v>
      </c>
      <c r="G7" s="99">
        <v>1510</v>
      </c>
      <c r="H7" s="99">
        <v>1240</v>
      </c>
      <c r="I7" s="100">
        <v>2022</v>
      </c>
      <c r="J7" s="62">
        <v>2</v>
      </c>
      <c r="K7" s="62" t="s">
        <v>179</v>
      </c>
      <c r="L7" s="101">
        <v>373000</v>
      </c>
      <c r="M7" s="101">
        <v>358000</v>
      </c>
      <c r="N7" s="62">
        <v>61</v>
      </c>
      <c r="O7" s="102">
        <v>2.5099999999999998</v>
      </c>
      <c r="P7" s="103">
        <f t="shared" si="0"/>
        <v>45658</v>
      </c>
      <c r="Q7" s="104">
        <f t="shared" si="1"/>
        <v>237.08609271523179</v>
      </c>
      <c r="R7" s="105">
        <f t="shared" si="2"/>
        <v>0.95978552278820373</v>
      </c>
      <c r="S7" s="101">
        <f t="shared" si="3"/>
        <v>-15000</v>
      </c>
      <c r="T7" s="104">
        <f t="shared" si="4"/>
        <v>8985.7999999999993</v>
      </c>
      <c r="U7" s="62">
        <f t="shared" si="5"/>
        <v>3</v>
      </c>
      <c r="V7" s="62" t="str">
        <f t="shared" si="6"/>
        <v>$300-400K</v>
      </c>
      <c r="W7" s="62" t="str">
        <f t="shared" si="7"/>
        <v/>
      </c>
      <c r="X7" s="62"/>
    </row>
    <row r="8" spans="1:24" x14ac:dyDescent="0.35">
      <c r="A8" s="62">
        <v>10041</v>
      </c>
      <c r="B8" s="98">
        <v>45672</v>
      </c>
      <c r="C8" s="62" t="s">
        <v>76</v>
      </c>
      <c r="D8" s="62" t="s">
        <v>26</v>
      </c>
      <c r="E8" s="62">
        <v>1</v>
      </c>
      <c r="F8" s="62">
        <v>1</v>
      </c>
      <c r="G8" s="99">
        <v>780</v>
      </c>
      <c r="H8" s="99">
        <v>0</v>
      </c>
      <c r="I8" s="100">
        <v>1982</v>
      </c>
      <c r="J8" s="62">
        <v>1</v>
      </c>
      <c r="K8" s="62" t="s">
        <v>179</v>
      </c>
      <c r="L8" s="101">
        <v>178000</v>
      </c>
      <c r="M8" s="101">
        <v>180000</v>
      </c>
      <c r="N8" s="62">
        <v>25</v>
      </c>
      <c r="O8" s="102"/>
      <c r="P8" s="103">
        <f t="shared" si="0"/>
        <v>45658</v>
      </c>
      <c r="Q8" s="104">
        <f t="shared" si="1"/>
        <v>230.76923076923077</v>
      </c>
      <c r="R8" s="105">
        <f t="shared" si="2"/>
        <v>1.0112359550561798</v>
      </c>
      <c r="S8" s="101">
        <f t="shared" si="3"/>
        <v>2000</v>
      </c>
      <c r="T8" s="104" t="str">
        <f t="shared" si="4"/>
        <v/>
      </c>
      <c r="U8" s="62">
        <f t="shared" si="5"/>
        <v>43</v>
      </c>
      <c r="V8" s="62" t="str">
        <f t="shared" si="6"/>
        <v>Under $200K</v>
      </c>
      <c r="W8" s="62" t="str">
        <f t="shared" si="7"/>
        <v/>
      </c>
      <c r="X8" s="62" t="s">
        <v>430</v>
      </c>
    </row>
    <row r="9" spans="1:24" x14ac:dyDescent="0.35">
      <c r="A9" s="62">
        <v>10178</v>
      </c>
      <c r="B9" s="98">
        <v>45672</v>
      </c>
      <c r="C9" s="62" t="s">
        <v>72</v>
      </c>
      <c r="D9" s="62" t="s">
        <v>26</v>
      </c>
      <c r="E9" s="62">
        <v>3</v>
      </c>
      <c r="F9" s="62">
        <v>2.5</v>
      </c>
      <c r="G9" s="99">
        <v>1910</v>
      </c>
      <c r="H9" s="99">
        <v>0</v>
      </c>
      <c r="I9" s="100">
        <v>1959</v>
      </c>
      <c r="J9" s="62">
        <v>1</v>
      </c>
      <c r="K9" s="62" t="s">
        <v>179</v>
      </c>
      <c r="L9" s="101">
        <v>242000</v>
      </c>
      <c r="M9" s="101">
        <v>239000</v>
      </c>
      <c r="N9" s="62">
        <v>35</v>
      </c>
      <c r="O9" s="102">
        <v>3.04</v>
      </c>
      <c r="P9" s="103">
        <f t="shared" si="0"/>
        <v>45658</v>
      </c>
      <c r="Q9" s="104">
        <f t="shared" si="1"/>
        <v>125.13089005235602</v>
      </c>
      <c r="R9" s="105">
        <f t="shared" si="2"/>
        <v>0.98760330578512401</v>
      </c>
      <c r="S9" s="101">
        <f t="shared" si="3"/>
        <v>-3000</v>
      </c>
      <c r="T9" s="104">
        <f t="shared" si="4"/>
        <v>7265.6</v>
      </c>
      <c r="U9" s="62">
        <f t="shared" si="5"/>
        <v>66</v>
      </c>
      <c r="V9" s="62" t="str">
        <f t="shared" si="6"/>
        <v>$200-300K</v>
      </c>
      <c r="W9" s="62" t="str">
        <f t="shared" si="7"/>
        <v/>
      </c>
      <c r="X9" s="62"/>
    </row>
    <row r="10" spans="1:24" x14ac:dyDescent="0.35">
      <c r="A10" s="62">
        <v>10142</v>
      </c>
      <c r="B10" s="98">
        <v>45673</v>
      </c>
      <c r="C10" s="62" t="s">
        <v>74</v>
      </c>
      <c r="D10" s="62" t="s">
        <v>27</v>
      </c>
      <c r="E10" s="62">
        <v>4</v>
      </c>
      <c r="F10" s="62">
        <v>3.5</v>
      </c>
      <c r="G10" s="99">
        <v>2360</v>
      </c>
      <c r="H10" s="99">
        <v>5700</v>
      </c>
      <c r="I10" s="100">
        <v>2008</v>
      </c>
      <c r="J10" s="62">
        <v>2</v>
      </c>
      <c r="K10" s="62" t="s">
        <v>179</v>
      </c>
      <c r="L10" s="101">
        <v>489000</v>
      </c>
      <c r="M10" s="101">
        <v>442000</v>
      </c>
      <c r="N10" s="62">
        <v>60</v>
      </c>
      <c r="O10" s="102"/>
      <c r="P10" s="103">
        <f t="shared" si="0"/>
        <v>45658</v>
      </c>
      <c r="Q10" s="104">
        <f t="shared" si="1"/>
        <v>187.28813559322035</v>
      </c>
      <c r="R10" s="105">
        <f t="shared" si="2"/>
        <v>0.9038854805725971</v>
      </c>
      <c r="S10" s="101">
        <f t="shared" si="3"/>
        <v>-47000</v>
      </c>
      <c r="T10" s="104" t="str">
        <f t="shared" si="4"/>
        <v/>
      </c>
      <c r="U10" s="62">
        <f t="shared" si="5"/>
        <v>17</v>
      </c>
      <c r="V10" s="62" t="str">
        <f t="shared" si="6"/>
        <v>$400-500K</v>
      </c>
      <c r="W10" s="62" t="str">
        <f t="shared" si="7"/>
        <v/>
      </c>
      <c r="X10" s="62" t="s">
        <v>432</v>
      </c>
    </row>
    <row r="11" spans="1:24" x14ac:dyDescent="0.35">
      <c r="A11" s="62">
        <v>10027</v>
      </c>
      <c r="B11" s="98">
        <v>45674</v>
      </c>
      <c r="C11" s="62" t="s">
        <v>76</v>
      </c>
      <c r="D11" s="62" t="s">
        <v>27</v>
      </c>
      <c r="E11" s="62">
        <v>3</v>
      </c>
      <c r="F11" s="62">
        <v>2</v>
      </c>
      <c r="G11" s="99">
        <v>1890</v>
      </c>
      <c r="H11" s="99">
        <v>6400</v>
      </c>
      <c r="I11" s="100">
        <v>2002</v>
      </c>
      <c r="J11" s="62">
        <v>1</v>
      </c>
      <c r="K11" s="62" t="s">
        <v>181</v>
      </c>
      <c r="L11" s="101">
        <v>406000</v>
      </c>
      <c r="M11" s="101">
        <v>411000</v>
      </c>
      <c r="N11" s="62">
        <v>80</v>
      </c>
      <c r="O11" s="102">
        <v>2.95</v>
      </c>
      <c r="P11" s="103">
        <f t="shared" si="0"/>
        <v>45658</v>
      </c>
      <c r="Q11" s="104">
        <f t="shared" si="1"/>
        <v>217.46031746031747</v>
      </c>
      <c r="R11" s="105">
        <f t="shared" si="2"/>
        <v>1.0123152709359606</v>
      </c>
      <c r="S11" s="101">
        <f t="shared" si="3"/>
        <v>5000</v>
      </c>
      <c r="T11" s="104">
        <f t="shared" si="4"/>
        <v>12124.5</v>
      </c>
      <c r="U11" s="62">
        <f t="shared" si="5"/>
        <v>23</v>
      </c>
      <c r="V11" s="62" t="str">
        <f t="shared" si="6"/>
        <v>$400-500K</v>
      </c>
      <c r="W11" s="62" t="str">
        <f t="shared" si="7"/>
        <v/>
      </c>
      <c r="X11" s="62" t="s">
        <v>433</v>
      </c>
    </row>
    <row r="12" spans="1:24" x14ac:dyDescent="0.35">
      <c r="A12" s="62">
        <v>10014</v>
      </c>
      <c r="B12" s="98">
        <v>45676</v>
      </c>
      <c r="C12" s="62" t="s">
        <v>72</v>
      </c>
      <c r="D12" s="62" t="s">
        <v>27</v>
      </c>
      <c r="E12" s="62">
        <v>5</v>
      </c>
      <c r="F12" s="62">
        <v>5</v>
      </c>
      <c r="G12" s="99">
        <v>2220</v>
      </c>
      <c r="H12" s="99">
        <v>8020</v>
      </c>
      <c r="I12" s="100"/>
      <c r="J12" s="62">
        <v>2</v>
      </c>
      <c r="K12" s="62" t="s">
        <v>179</v>
      </c>
      <c r="L12" s="101">
        <v>435000</v>
      </c>
      <c r="M12" s="101">
        <v>425000</v>
      </c>
      <c r="N12" s="62">
        <v>50</v>
      </c>
      <c r="O12" s="102">
        <v>2.7</v>
      </c>
      <c r="P12" s="103">
        <f t="shared" si="0"/>
        <v>45658</v>
      </c>
      <c r="Q12" s="104">
        <f t="shared" si="1"/>
        <v>191.44144144144144</v>
      </c>
      <c r="R12" s="105">
        <f t="shared" si="2"/>
        <v>0.97701149425287359</v>
      </c>
      <c r="S12" s="101">
        <f t="shared" si="3"/>
        <v>-10000</v>
      </c>
      <c r="T12" s="104">
        <f t="shared" si="4"/>
        <v>11475</v>
      </c>
      <c r="U12" s="62" t="str">
        <f t="shared" si="5"/>
        <v/>
      </c>
      <c r="V12" s="62" t="str">
        <f t="shared" si="6"/>
        <v>$400-500K</v>
      </c>
      <c r="W12" s="62" t="str">
        <f t="shared" si="7"/>
        <v/>
      </c>
      <c r="X12" s="62" t="s">
        <v>434</v>
      </c>
    </row>
    <row r="13" spans="1:24" x14ac:dyDescent="0.35">
      <c r="A13" s="62">
        <v>10149</v>
      </c>
      <c r="B13" s="98">
        <v>45676</v>
      </c>
      <c r="C13" s="62" t="s">
        <v>76</v>
      </c>
      <c r="D13" s="62" t="s">
        <v>27</v>
      </c>
      <c r="E13" s="62">
        <v>4</v>
      </c>
      <c r="F13" s="62">
        <v>3.5</v>
      </c>
      <c r="G13" s="99">
        <v>2120</v>
      </c>
      <c r="H13" s="99">
        <v>8600</v>
      </c>
      <c r="I13" s="100">
        <v>2009</v>
      </c>
      <c r="J13" s="62">
        <v>2</v>
      </c>
      <c r="K13" s="62" t="s">
        <v>182</v>
      </c>
      <c r="L13" s="101">
        <v>453000</v>
      </c>
      <c r="M13" s="101">
        <v>450000</v>
      </c>
      <c r="N13" s="62">
        <v>65</v>
      </c>
      <c r="O13" s="102">
        <v>2.75</v>
      </c>
      <c r="P13" s="103">
        <f t="shared" si="0"/>
        <v>45658</v>
      </c>
      <c r="Q13" s="104">
        <f t="shared" si="1"/>
        <v>212.26415094339623</v>
      </c>
      <c r="R13" s="105">
        <f t="shared" si="2"/>
        <v>0.99337748344370858</v>
      </c>
      <c r="S13" s="101">
        <f t="shared" si="3"/>
        <v>-3000</v>
      </c>
      <c r="T13" s="104">
        <f t="shared" si="4"/>
        <v>12375</v>
      </c>
      <c r="U13" s="62">
        <f t="shared" si="5"/>
        <v>16</v>
      </c>
      <c r="V13" s="62" t="str">
        <f t="shared" si="6"/>
        <v>$400-500K</v>
      </c>
      <c r="W13" s="62" t="str">
        <f t="shared" si="7"/>
        <v/>
      </c>
      <c r="X13" s="62" t="s">
        <v>435</v>
      </c>
    </row>
    <row r="14" spans="1:24" x14ac:dyDescent="0.35">
      <c r="A14" s="62">
        <v>10193</v>
      </c>
      <c r="B14" s="98">
        <v>45676</v>
      </c>
      <c r="C14" s="62" t="s">
        <v>75</v>
      </c>
      <c r="D14" s="62" t="s">
        <v>28</v>
      </c>
      <c r="E14" s="62">
        <v>4</v>
      </c>
      <c r="F14" s="62">
        <v>3.5</v>
      </c>
      <c r="G14" s="99">
        <v>2260</v>
      </c>
      <c r="H14" s="99">
        <v>1850</v>
      </c>
      <c r="I14" s="100">
        <v>1941</v>
      </c>
      <c r="J14" s="62">
        <v>2</v>
      </c>
      <c r="K14" s="62" t="s">
        <v>181</v>
      </c>
      <c r="L14" s="101">
        <v>395000</v>
      </c>
      <c r="M14" s="101">
        <v>389000</v>
      </c>
      <c r="N14" s="62">
        <v>76</v>
      </c>
      <c r="O14" s="102">
        <v>2.5</v>
      </c>
      <c r="P14" s="103">
        <f t="shared" si="0"/>
        <v>45658</v>
      </c>
      <c r="Q14" s="104">
        <f t="shared" si="1"/>
        <v>172.12389380530973</v>
      </c>
      <c r="R14" s="105">
        <f t="shared" si="2"/>
        <v>0.98481012658227851</v>
      </c>
      <c r="S14" s="101">
        <f t="shared" si="3"/>
        <v>-6000</v>
      </c>
      <c r="T14" s="104">
        <f t="shared" si="4"/>
        <v>9725</v>
      </c>
      <c r="U14" s="62">
        <f t="shared" si="5"/>
        <v>84</v>
      </c>
      <c r="V14" s="62" t="str">
        <f t="shared" si="6"/>
        <v>$300-400K</v>
      </c>
      <c r="W14" s="62" t="str">
        <f t="shared" si="7"/>
        <v/>
      </c>
      <c r="X14" s="62"/>
    </row>
    <row r="15" spans="1:24" x14ac:dyDescent="0.35">
      <c r="A15" s="62">
        <v>10083</v>
      </c>
      <c r="B15" s="98">
        <v>45681</v>
      </c>
      <c r="C15" s="62" t="s">
        <v>73</v>
      </c>
      <c r="D15" s="62" t="s">
        <v>26</v>
      </c>
      <c r="E15" s="62">
        <v>2</v>
      </c>
      <c r="F15" s="62">
        <v>2</v>
      </c>
      <c r="G15" s="99">
        <v>1350</v>
      </c>
      <c r="H15" s="99">
        <v>0</v>
      </c>
      <c r="I15" s="100">
        <v>1961</v>
      </c>
      <c r="J15" s="62">
        <v>0</v>
      </c>
      <c r="K15" s="62" t="s">
        <v>179</v>
      </c>
      <c r="L15" s="101">
        <v>371000</v>
      </c>
      <c r="M15" s="101">
        <v>359000</v>
      </c>
      <c r="N15" s="62">
        <v>43</v>
      </c>
      <c r="O15" s="102">
        <v>2.79</v>
      </c>
      <c r="P15" s="103">
        <f t="shared" si="0"/>
        <v>45658</v>
      </c>
      <c r="Q15" s="104">
        <f t="shared" si="1"/>
        <v>265.92592592592592</v>
      </c>
      <c r="R15" s="105">
        <f t="shared" si="2"/>
        <v>0.96765498652291104</v>
      </c>
      <c r="S15" s="101">
        <f t="shared" si="3"/>
        <v>-12000</v>
      </c>
      <c r="T15" s="104">
        <f t="shared" si="4"/>
        <v>10016.1</v>
      </c>
      <c r="U15" s="62">
        <f t="shared" si="5"/>
        <v>64</v>
      </c>
      <c r="V15" s="62" t="str">
        <f t="shared" si="6"/>
        <v>$300-400K</v>
      </c>
      <c r="W15" s="62" t="str">
        <f t="shared" si="7"/>
        <v/>
      </c>
      <c r="X15" s="62"/>
    </row>
    <row r="16" spans="1:24" x14ac:dyDescent="0.35">
      <c r="A16" s="62">
        <v>10105</v>
      </c>
      <c r="B16" s="98">
        <v>45682</v>
      </c>
      <c r="C16" s="62" t="s">
        <v>73</v>
      </c>
      <c r="D16" s="62" t="s">
        <v>27</v>
      </c>
      <c r="E16" s="62">
        <v>4</v>
      </c>
      <c r="F16" s="62">
        <v>3.5</v>
      </c>
      <c r="G16" s="99">
        <v>2010</v>
      </c>
      <c r="H16" s="99">
        <v>5170</v>
      </c>
      <c r="I16" s="100">
        <v>1980</v>
      </c>
      <c r="J16" s="62">
        <v>1</v>
      </c>
      <c r="K16" s="62" t="s">
        <v>180</v>
      </c>
      <c r="L16" s="101">
        <v>549000</v>
      </c>
      <c r="M16" s="101">
        <v>542000</v>
      </c>
      <c r="N16" s="62">
        <v>45</v>
      </c>
      <c r="O16" s="102">
        <v>2.97</v>
      </c>
      <c r="P16" s="103">
        <f t="shared" si="0"/>
        <v>45658</v>
      </c>
      <c r="Q16" s="104">
        <f t="shared" si="1"/>
        <v>269.65174129353233</v>
      </c>
      <c r="R16" s="105">
        <f t="shared" si="2"/>
        <v>0.98724954462659376</v>
      </c>
      <c r="S16" s="101">
        <f t="shared" si="3"/>
        <v>-7000</v>
      </c>
      <c r="T16" s="104">
        <f t="shared" si="4"/>
        <v>16097.4</v>
      </c>
      <c r="U16" s="62">
        <f t="shared" si="5"/>
        <v>45</v>
      </c>
      <c r="V16" s="62" t="str">
        <f t="shared" si="6"/>
        <v>$500-600K</v>
      </c>
      <c r="W16" s="62" t="str">
        <f t="shared" si="7"/>
        <v/>
      </c>
      <c r="X16" s="62"/>
    </row>
    <row r="17" spans="1:24" x14ac:dyDescent="0.35">
      <c r="A17" s="62">
        <v>10019</v>
      </c>
      <c r="B17" s="98">
        <v>45684</v>
      </c>
      <c r="C17" s="62" t="s">
        <v>72</v>
      </c>
      <c r="D17" s="62" t="s">
        <v>27</v>
      </c>
      <c r="E17" s="62">
        <v>3</v>
      </c>
      <c r="F17" s="62">
        <v>2.5</v>
      </c>
      <c r="G17" s="99">
        <v>1670</v>
      </c>
      <c r="H17" s="99">
        <v>4630</v>
      </c>
      <c r="I17" s="100">
        <v>2001</v>
      </c>
      <c r="J17" s="62">
        <v>2</v>
      </c>
      <c r="K17" s="62" t="s">
        <v>179</v>
      </c>
      <c r="L17" s="101">
        <v>302000</v>
      </c>
      <c r="M17" s="101">
        <v>298000</v>
      </c>
      <c r="N17" s="62">
        <v>69</v>
      </c>
      <c r="O17" s="102">
        <v>2.5499999999999998</v>
      </c>
      <c r="P17" s="103">
        <f t="shared" si="0"/>
        <v>45658</v>
      </c>
      <c r="Q17" s="104">
        <f t="shared" si="1"/>
        <v>178.44311377245509</v>
      </c>
      <c r="R17" s="105">
        <f t="shared" si="2"/>
        <v>0.98675496688741726</v>
      </c>
      <c r="S17" s="101">
        <f t="shared" si="3"/>
        <v>-4000</v>
      </c>
      <c r="T17" s="104">
        <f t="shared" si="4"/>
        <v>7599</v>
      </c>
      <c r="U17" s="62">
        <f t="shared" si="5"/>
        <v>24</v>
      </c>
      <c r="V17" s="62" t="str">
        <f t="shared" si="6"/>
        <v>$200-300K</v>
      </c>
      <c r="W17" s="62" t="str">
        <f t="shared" si="7"/>
        <v/>
      </c>
      <c r="X17" s="62" t="s">
        <v>433</v>
      </c>
    </row>
    <row r="18" spans="1:24" x14ac:dyDescent="0.35">
      <c r="A18" s="62">
        <v>10057</v>
      </c>
      <c r="B18" s="98">
        <v>45685</v>
      </c>
      <c r="C18" s="62" t="s">
        <v>76</v>
      </c>
      <c r="D18" s="62" t="s">
        <v>27</v>
      </c>
      <c r="E18" s="62">
        <v>4</v>
      </c>
      <c r="F18" s="62">
        <v>2.5</v>
      </c>
      <c r="G18" s="99">
        <v>2050</v>
      </c>
      <c r="H18" s="99">
        <v>5760</v>
      </c>
      <c r="I18" s="100">
        <v>2005</v>
      </c>
      <c r="J18" s="62">
        <v>2</v>
      </c>
      <c r="K18" s="62" t="s">
        <v>179</v>
      </c>
      <c r="L18" s="101">
        <v>462000</v>
      </c>
      <c r="M18" s="101">
        <v>441000</v>
      </c>
      <c r="N18" s="62">
        <v>39</v>
      </c>
      <c r="O18" s="102">
        <v>3.02</v>
      </c>
      <c r="P18" s="103">
        <f t="shared" si="0"/>
        <v>45658</v>
      </c>
      <c r="Q18" s="104">
        <f t="shared" si="1"/>
        <v>215.1219512195122</v>
      </c>
      <c r="R18" s="105">
        <f t="shared" si="2"/>
        <v>0.95454545454545459</v>
      </c>
      <c r="S18" s="101">
        <f t="shared" si="3"/>
        <v>-21000</v>
      </c>
      <c r="T18" s="104">
        <f t="shared" si="4"/>
        <v>13318.2</v>
      </c>
      <c r="U18" s="62">
        <f t="shared" si="5"/>
        <v>20</v>
      </c>
      <c r="V18" s="62" t="str">
        <f t="shared" si="6"/>
        <v>$400-500K</v>
      </c>
      <c r="W18" s="62" t="str">
        <f t="shared" si="7"/>
        <v/>
      </c>
      <c r="X18" s="62" t="s">
        <v>436</v>
      </c>
    </row>
    <row r="19" spans="1:24" x14ac:dyDescent="0.35">
      <c r="A19" s="62">
        <v>10229</v>
      </c>
      <c r="B19" s="98">
        <v>45689</v>
      </c>
      <c r="C19" s="62" t="s">
        <v>74</v>
      </c>
      <c r="D19" s="62" t="s">
        <v>28</v>
      </c>
      <c r="E19" s="62">
        <v>4</v>
      </c>
      <c r="F19" s="62">
        <v>3</v>
      </c>
      <c r="G19" s="99">
        <v>2150</v>
      </c>
      <c r="H19" s="99">
        <v>1740</v>
      </c>
      <c r="I19" s="100"/>
      <c r="J19" s="62">
        <v>1</v>
      </c>
      <c r="K19" s="62" t="s">
        <v>179</v>
      </c>
      <c r="L19" s="101">
        <v>350000</v>
      </c>
      <c r="M19" s="101">
        <v>342000</v>
      </c>
      <c r="N19" s="62">
        <v>40</v>
      </c>
      <c r="O19" s="102"/>
      <c r="P19" s="103">
        <f t="shared" si="0"/>
        <v>45689</v>
      </c>
      <c r="Q19" s="104">
        <f t="shared" si="1"/>
        <v>159.06976744186048</v>
      </c>
      <c r="R19" s="105">
        <f t="shared" si="2"/>
        <v>0.97714285714285709</v>
      </c>
      <c r="S19" s="101">
        <f t="shared" si="3"/>
        <v>-8000</v>
      </c>
      <c r="T19" s="104" t="str">
        <f t="shared" si="4"/>
        <v/>
      </c>
      <c r="U19" s="62" t="str">
        <f t="shared" si="5"/>
        <v/>
      </c>
      <c r="V19" s="62" t="str">
        <f t="shared" si="6"/>
        <v>$300-400K</v>
      </c>
      <c r="W19" s="62" t="str">
        <f t="shared" si="7"/>
        <v/>
      </c>
      <c r="X19" s="62" t="s">
        <v>437</v>
      </c>
    </row>
    <row r="20" spans="1:24" x14ac:dyDescent="0.35">
      <c r="A20" s="62">
        <v>10110</v>
      </c>
      <c r="B20" s="98">
        <v>45691</v>
      </c>
      <c r="C20" s="62" t="s">
        <v>72</v>
      </c>
      <c r="D20" s="62" t="s">
        <v>27</v>
      </c>
      <c r="E20" s="62">
        <v>3</v>
      </c>
      <c r="F20" s="62">
        <v>2.5</v>
      </c>
      <c r="G20" s="99">
        <v>1470</v>
      </c>
      <c r="H20" s="99">
        <v>3280</v>
      </c>
      <c r="I20" s="100">
        <v>1972</v>
      </c>
      <c r="J20" s="62">
        <v>1</v>
      </c>
      <c r="K20" s="62" t="s">
        <v>179</v>
      </c>
      <c r="L20" s="101">
        <v>273000</v>
      </c>
      <c r="M20" s="101">
        <v>264000</v>
      </c>
      <c r="N20" s="62">
        <v>66</v>
      </c>
      <c r="O20" s="102">
        <v>3.05</v>
      </c>
      <c r="P20" s="103">
        <f t="shared" si="0"/>
        <v>45689</v>
      </c>
      <c r="Q20" s="104">
        <f t="shared" si="1"/>
        <v>179.59183673469389</v>
      </c>
      <c r="R20" s="105">
        <f t="shared" si="2"/>
        <v>0.96703296703296704</v>
      </c>
      <c r="S20" s="101">
        <f t="shared" si="3"/>
        <v>-9000</v>
      </c>
      <c r="T20" s="104">
        <f t="shared" si="4"/>
        <v>8052</v>
      </c>
      <c r="U20" s="62">
        <f t="shared" si="5"/>
        <v>53</v>
      </c>
      <c r="V20" s="62" t="str">
        <f t="shared" si="6"/>
        <v>$200-300K</v>
      </c>
      <c r="W20" s="62" t="str">
        <f t="shared" si="7"/>
        <v/>
      </c>
      <c r="X20" s="62"/>
    </row>
    <row r="21" spans="1:24" x14ac:dyDescent="0.35">
      <c r="A21" s="62">
        <v>10131</v>
      </c>
      <c r="B21" s="98">
        <v>45692</v>
      </c>
      <c r="C21" s="62" t="s">
        <v>75</v>
      </c>
      <c r="D21" s="62" t="s">
        <v>27</v>
      </c>
      <c r="E21" s="62">
        <v>3</v>
      </c>
      <c r="F21" s="62">
        <v>2</v>
      </c>
      <c r="G21" s="99">
        <v>1500</v>
      </c>
      <c r="H21" s="99">
        <v>5130</v>
      </c>
      <c r="I21" s="100">
        <v>1986</v>
      </c>
      <c r="J21" s="62">
        <v>1</v>
      </c>
      <c r="K21" s="62" t="s">
        <v>180</v>
      </c>
      <c r="L21" s="101">
        <v>393000</v>
      </c>
      <c r="M21" s="101">
        <v>403000</v>
      </c>
      <c r="N21" s="62">
        <v>60</v>
      </c>
      <c r="O21" s="102">
        <v>2.4500000000000002</v>
      </c>
      <c r="P21" s="103">
        <f t="shared" si="0"/>
        <v>45689</v>
      </c>
      <c r="Q21" s="104">
        <f t="shared" si="1"/>
        <v>268.66666666666669</v>
      </c>
      <c r="R21" s="105">
        <f t="shared" si="2"/>
        <v>1.025445292620865</v>
      </c>
      <c r="S21" s="101">
        <f t="shared" si="3"/>
        <v>10000</v>
      </c>
      <c r="T21" s="104">
        <f t="shared" si="4"/>
        <v>9873.5000000000018</v>
      </c>
      <c r="U21" s="62">
        <f t="shared" si="5"/>
        <v>39</v>
      </c>
      <c r="V21" s="62" t="str">
        <f t="shared" si="6"/>
        <v>$400-500K</v>
      </c>
      <c r="W21" s="62" t="str">
        <f t="shared" si="7"/>
        <v/>
      </c>
      <c r="X21" s="62"/>
    </row>
    <row r="22" spans="1:24" x14ac:dyDescent="0.35">
      <c r="A22" s="62">
        <v>10124</v>
      </c>
      <c r="B22" s="98">
        <v>45695</v>
      </c>
      <c r="C22" s="62" t="s">
        <v>76</v>
      </c>
      <c r="D22" s="62" t="s">
        <v>27</v>
      </c>
      <c r="E22" s="62">
        <v>4</v>
      </c>
      <c r="F22" s="62">
        <v>3.5</v>
      </c>
      <c r="G22" s="99">
        <v>2050</v>
      </c>
      <c r="H22" s="99">
        <v>4930</v>
      </c>
      <c r="I22" s="100">
        <v>1974</v>
      </c>
      <c r="J22" s="62">
        <v>1</v>
      </c>
      <c r="K22" s="62" t="s">
        <v>179</v>
      </c>
      <c r="L22" s="101">
        <v>487000</v>
      </c>
      <c r="M22" s="101">
        <v>452000</v>
      </c>
      <c r="N22" s="62">
        <v>43</v>
      </c>
      <c r="O22" s="102">
        <v>3.02</v>
      </c>
      <c r="P22" s="103">
        <f t="shared" si="0"/>
        <v>45689</v>
      </c>
      <c r="Q22" s="104">
        <f t="shared" si="1"/>
        <v>220.48780487804879</v>
      </c>
      <c r="R22" s="105">
        <f t="shared" si="2"/>
        <v>0.92813141683778233</v>
      </c>
      <c r="S22" s="101">
        <f t="shared" si="3"/>
        <v>-35000</v>
      </c>
      <c r="T22" s="104">
        <f t="shared" si="4"/>
        <v>13650.4</v>
      </c>
      <c r="U22" s="62">
        <f t="shared" si="5"/>
        <v>51</v>
      </c>
      <c r="V22" s="62" t="str">
        <f t="shared" si="6"/>
        <v>$400-500K</v>
      </c>
      <c r="W22" s="62" t="str">
        <f t="shared" si="7"/>
        <v/>
      </c>
      <c r="X22" s="62"/>
    </row>
    <row r="23" spans="1:24" x14ac:dyDescent="0.35">
      <c r="A23" s="62">
        <v>10081</v>
      </c>
      <c r="B23" s="98">
        <v>45696</v>
      </c>
      <c r="C23" s="62" t="s">
        <v>74</v>
      </c>
      <c r="D23" s="62" t="s">
        <v>28</v>
      </c>
      <c r="E23" s="62">
        <v>2</v>
      </c>
      <c r="F23" s="62">
        <v>1</v>
      </c>
      <c r="G23" s="99">
        <v>1320</v>
      </c>
      <c r="H23" s="99">
        <v>2300</v>
      </c>
      <c r="I23" s="100">
        <v>1988</v>
      </c>
      <c r="J23" s="62">
        <v>1</v>
      </c>
      <c r="K23" s="62" t="s">
        <v>178</v>
      </c>
      <c r="L23" s="101">
        <v>250000</v>
      </c>
      <c r="M23" s="101">
        <v>239000</v>
      </c>
      <c r="N23" s="62">
        <v>40</v>
      </c>
      <c r="O23" s="102">
        <v>3.08</v>
      </c>
      <c r="P23" s="103">
        <f t="shared" si="0"/>
        <v>45689</v>
      </c>
      <c r="Q23" s="104">
        <f t="shared" si="1"/>
        <v>181.06060606060606</v>
      </c>
      <c r="R23" s="105">
        <f t="shared" si="2"/>
        <v>0.95599999999999996</v>
      </c>
      <c r="S23" s="101">
        <f t="shared" si="3"/>
        <v>-11000</v>
      </c>
      <c r="T23" s="104">
        <f t="shared" si="4"/>
        <v>7361.2</v>
      </c>
      <c r="U23" s="62">
        <f t="shared" si="5"/>
        <v>37</v>
      </c>
      <c r="V23" s="62" t="str">
        <f t="shared" si="6"/>
        <v>$200-300K</v>
      </c>
      <c r="W23" s="62" t="str">
        <f t="shared" si="7"/>
        <v/>
      </c>
      <c r="X23" s="62" t="s">
        <v>438</v>
      </c>
    </row>
    <row r="24" spans="1:24" x14ac:dyDescent="0.35">
      <c r="A24" s="62">
        <v>10100</v>
      </c>
      <c r="B24" s="98">
        <v>45696</v>
      </c>
      <c r="C24" s="62" t="s">
        <v>72</v>
      </c>
      <c r="D24" s="62" t="s">
        <v>27</v>
      </c>
      <c r="E24" s="62">
        <v>3</v>
      </c>
      <c r="F24" s="62">
        <v>3</v>
      </c>
      <c r="G24" s="99">
        <v>1720</v>
      </c>
      <c r="H24" s="99">
        <v>6180</v>
      </c>
      <c r="I24" s="100">
        <v>1941</v>
      </c>
      <c r="J24" s="62">
        <v>1</v>
      </c>
      <c r="K24" s="62" t="s">
        <v>178</v>
      </c>
      <c r="L24" s="101">
        <v>337000</v>
      </c>
      <c r="M24" s="101">
        <v>332000</v>
      </c>
      <c r="N24" s="62">
        <v>80</v>
      </c>
      <c r="O24" s="102">
        <v>2.68</v>
      </c>
      <c r="P24" s="103">
        <f t="shared" si="0"/>
        <v>45689</v>
      </c>
      <c r="Q24" s="104">
        <f t="shared" si="1"/>
        <v>193.02325581395348</v>
      </c>
      <c r="R24" s="105">
        <f t="shared" si="2"/>
        <v>0.98516320474777452</v>
      </c>
      <c r="S24" s="101">
        <f t="shared" si="3"/>
        <v>-5000</v>
      </c>
      <c r="T24" s="104">
        <f t="shared" si="4"/>
        <v>8897.6</v>
      </c>
      <c r="U24" s="62">
        <f t="shared" si="5"/>
        <v>84</v>
      </c>
      <c r="V24" s="62" t="str">
        <f t="shared" si="6"/>
        <v>$300-400K</v>
      </c>
      <c r="W24" s="62" t="str">
        <f t="shared" si="7"/>
        <v/>
      </c>
      <c r="X24" s="62"/>
    </row>
    <row r="25" spans="1:24" x14ac:dyDescent="0.35">
      <c r="A25" s="62">
        <v>10061</v>
      </c>
      <c r="B25" s="98">
        <v>45702</v>
      </c>
      <c r="C25" s="62" t="s">
        <v>74</v>
      </c>
      <c r="D25" s="62" t="s">
        <v>27</v>
      </c>
      <c r="E25" s="62">
        <v>3</v>
      </c>
      <c r="F25" s="62">
        <v>2.5</v>
      </c>
      <c r="G25" s="99">
        <v>1520</v>
      </c>
      <c r="H25" s="99">
        <v>6600</v>
      </c>
      <c r="I25" s="100">
        <v>1984</v>
      </c>
      <c r="J25" s="62">
        <v>0</v>
      </c>
      <c r="K25" s="62" t="s">
        <v>178</v>
      </c>
      <c r="L25" s="101">
        <v>350000</v>
      </c>
      <c r="M25" s="101">
        <v>334000</v>
      </c>
      <c r="N25" s="62">
        <v>61</v>
      </c>
      <c r="O25" s="102">
        <v>3.03</v>
      </c>
      <c r="P25" s="103">
        <f t="shared" si="0"/>
        <v>45689</v>
      </c>
      <c r="Q25" s="104">
        <f t="shared" si="1"/>
        <v>219.73684210526315</v>
      </c>
      <c r="R25" s="105">
        <f t="shared" si="2"/>
        <v>0.95428571428571429</v>
      </c>
      <c r="S25" s="101">
        <f t="shared" si="3"/>
        <v>-16000</v>
      </c>
      <c r="T25" s="104">
        <f t="shared" si="4"/>
        <v>10120.199999999999</v>
      </c>
      <c r="U25" s="62">
        <f t="shared" si="5"/>
        <v>41</v>
      </c>
      <c r="V25" s="62" t="str">
        <f t="shared" si="6"/>
        <v>$300-400K</v>
      </c>
      <c r="W25" s="62" t="str">
        <f t="shared" si="7"/>
        <v/>
      </c>
      <c r="X25" s="62"/>
    </row>
    <row r="26" spans="1:24" x14ac:dyDescent="0.35">
      <c r="A26" s="62">
        <v>10205</v>
      </c>
      <c r="B26" s="98">
        <v>45710</v>
      </c>
      <c r="C26" s="62" t="s">
        <v>75</v>
      </c>
      <c r="D26" s="62" t="s">
        <v>27</v>
      </c>
      <c r="E26" s="62">
        <v>3</v>
      </c>
      <c r="F26" s="62">
        <v>3</v>
      </c>
      <c r="G26" s="99">
        <v>1940</v>
      </c>
      <c r="H26" s="99">
        <v>4730</v>
      </c>
      <c r="I26" s="100">
        <v>2002</v>
      </c>
      <c r="J26" s="62">
        <v>1</v>
      </c>
      <c r="K26" s="62" t="s">
        <v>179</v>
      </c>
      <c r="L26" s="101">
        <v>479000</v>
      </c>
      <c r="M26" s="101">
        <v>451000</v>
      </c>
      <c r="N26" s="62">
        <v>62</v>
      </c>
      <c r="O26" s="102">
        <v>2.71</v>
      </c>
      <c r="P26" s="103">
        <f t="shared" si="0"/>
        <v>45689</v>
      </c>
      <c r="Q26" s="104">
        <f t="shared" si="1"/>
        <v>232.4742268041237</v>
      </c>
      <c r="R26" s="105">
        <f t="shared" si="2"/>
        <v>0.94154488517745305</v>
      </c>
      <c r="S26" s="101">
        <f t="shared" si="3"/>
        <v>-28000</v>
      </c>
      <c r="T26" s="104">
        <f t="shared" si="4"/>
        <v>12222.1</v>
      </c>
      <c r="U26" s="62">
        <f t="shared" si="5"/>
        <v>23</v>
      </c>
      <c r="V26" s="62" t="str">
        <f t="shared" si="6"/>
        <v>$400-500K</v>
      </c>
      <c r="W26" s="62" t="str">
        <f t="shared" si="7"/>
        <v/>
      </c>
      <c r="X26" s="62"/>
    </row>
    <row r="27" spans="1:24" x14ac:dyDescent="0.35">
      <c r="A27" s="62">
        <v>10143</v>
      </c>
      <c r="B27" s="98">
        <v>45711</v>
      </c>
      <c r="C27" s="62" t="s">
        <v>72</v>
      </c>
      <c r="D27" s="62" t="s">
        <v>27</v>
      </c>
      <c r="E27" s="62">
        <v>3</v>
      </c>
      <c r="F27" s="62">
        <v>2.5</v>
      </c>
      <c r="G27" s="99">
        <v>1950</v>
      </c>
      <c r="H27" s="99">
        <v>8750</v>
      </c>
      <c r="I27" s="100">
        <v>2013</v>
      </c>
      <c r="J27" s="62">
        <v>2</v>
      </c>
      <c r="K27" s="62" t="s">
        <v>179</v>
      </c>
      <c r="L27" s="101">
        <v>383000</v>
      </c>
      <c r="M27" s="101">
        <v>377000</v>
      </c>
      <c r="N27" s="62">
        <v>54</v>
      </c>
      <c r="O27" s="102">
        <v>3.11</v>
      </c>
      <c r="P27" s="103">
        <f t="shared" si="0"/>
        <v>45689</v>
      </c>
      <c r="Q27" s="104">
        <f t="shared" si="1"/>
        <v>193.33333333333334</v>
      </c>
      <c r="R27" s="105">
        <f t="shared" si="2"/>
        <v>0.98433420365535251</v>
      </c>
      <c r="S27" s="101">
        <f t="shared" si="3"/>
        <v>-6000</v>
      </c>
      <c r="T27" s="104">
        <f t="shared" si="4"/>
        <v>11724.7</v>
      </c>
      <c r="U27" s="62">
        <f t="shared" si="5"/>
        <v>12</v>
      </c>
      <c r="V27" s="62" t="str">
        <f t="shared" si="6"/>
        <v>$300-400K</v>
      </c>
      <c r="W27" s="62" t="str">
        <f t="shared" si="7"/>
        <v/>
      </c>
      <c r="X27" s="62"/>
    </row>
    <row r="28" spans="1:24" x14ac:dyDescent="0.35">
      <c r="A28" s="62">
        <v>10052</v>
      </c>
      <c r="B28" s="98">
        <v>45713</v>
      </c>
      <c r="C28" s="62" t="s">
        <v>75</v>
      </c>
      <c r="D28" s="62" t="s">
        <v>27</v>
      </c>
      <c r="E28" s="62">
        <v>4</v>
      </c>
      <c r="F28" s="62">
        <v>3</v>
      </c>
      <c r="G28" s="99">
        <v>2260</v>
      </c>
      <c r="H28" s="99">
        <v>10060</v>
      </c>
      <c r="I28" s="100">
        <v>1940</v>
      </c>
      <c r="J28" s="62">
        <v>0</v>
      </c>
      <c r="K28" s="62" t="s">
        <v>179</v>
      </c>
      <c r="L28" s="101">
        <v>531000</v>
      </c>
      <c r="M28" s="101">
        <v>512000</v>
      </c>
      <c r="N28" s="62">
        <v>20</v>
      </c>
      <c r="O28" s="102">
        <v>3.07</v>
      </c>
      <c r="P28" s="103">
        <f t="shared" si="0"/>
        <v>45689</v>
      </c>
      <c r="Q28" s="104">
        <f t="shared" si="1"/>
        <v>226.54867256637169</v>
      </c>
      <c r="R28" s="105">
        <f t="shared" si="2"/>
        <v>0.96421845574387943</v>
      </c>
      <c r="S28" s="101">
        <f t="shared" si="3"/>
        <v>-19000</v>
      </c>
      <c r="T28" s="104">
        <f t="shared" si="4"/>
        <v>15718.4</v>
      </c>
      <c r="U28" s="62">
        <f t="shared" si="5"/>
        <v>85</v>
      </c>
      <c r="V28" s="62" t="str">
        <f t="shared" si="6"/>
        <v>$500-600K</v>
      </c>
      <c r="W28" s="62" t="str">
        <f t="shared" si="7"/>
        <v/>
      </c>
      <c r="X28" s="62"/>
    </row>
    <row r="29" spans="1:24" x14ac:dyDescent="0.35">
      <c r="A29" s="62">
        <v>10120</v>
      </c>
      <c r="B29" s="98">
        <v>45715</v>
      </c>
      <c r="C29" s="62" t="s">
        <v>74</v>
      </c>
      <c r="D29" s="62" t="s">
        <v>26</v>
      </c>
      <c r="E29" s="62">
        <v>1</v>
      </c>
      <c r="F29" s="62">
        <v>1</v>
      </c>
      <c r="G29" s="99">
        <v>940</v>
      </c>
      <c r="H29" s="99">
        <v>0</v>
      </c>
      <c r="I29" s="100">
        <v>1997</v>
      </c>
      <c r="J29" s="62">
        <v>0</v>
      </c>
      <c r="K29" s="62" t="s">
        <v>179</v>
      </c>
      <c r="L29" s="101">
        <v>185000</v>
      </c>
      <c r="M29" s="101">
        <v>177000</v>
      </c>
      <c r="N29" s="62">
        <v>41</v>
      </c>
      <c r="O29" s="102">
        <v>3.07</v>
      </c>
      <c r="P29" s="103">
        <f t="shared" si="0"/>
        <v>45689</v>
      </c>
      <c r="Q29" s="104">
        <f t="shared" si="1"/>
        <v>188.29787234042553</v>
      </c>
      <c r="R29" s="105">
        <f t="shared" si="2"/>
        <v>0.95675675675675675</v>
      </c>
      <c r="S29" s="101">
        <f t="shared" si="3"/>
        <v>-8000</v>
      </c>
      <c r="T29" s="104">
        <f t="shared" si="4"/>
        <v>5433.9</v>
      </c>
      <c r="U29" s="62">
        <f t="shared" si="5"/>
        <v>28</v>
      </c>
      <c r="V29" s="62" t="str">
        <f t="shared" si="6"/>
        <v>Under $200K</v>
      </c>
      <c r="W29" s="62" t="str">
        <f t="shared" si="7"/>
        <v/>
      </c>
      <c r="X29" s="62" t="s">
        <v>431</v>
      </c>
    </row>
    <row r="30" spans="1:24" x14ac:dyDescent="0.35">
      <c r="A30" s="62">
        <v>10135</v>
      </c>
      <c r="B30" s="98">
        <v>45716</v>
      </c>
      <c r="C30" s="62" t="s">
        <v>74</v>
      </c>
      <c r="D30" s="62" t="s">
        <v>27</v>
      </c>
      <c r="E30" s="62">
        <v>5</v>
      </c>
      <c r="F30" s="62">
        <v>3</v>
      </c>
      <c r="G30" s="99">
        <v>2660</v>
      </c>
      <c r="H30" s="99">
        <v>11020</v>
      </c>
      <c r="I30" s="100">
        <v>1964</v>
      </c>
      <c r="J30" s="62">
        <v>1</v>
      </c>
      <c r="K30" s="62" t="s">
        <v>179</v>
      </c>
      <c r="L30" s="101">
        <v>501000</v>
      </c>
      <c r="M30" s="101">
        <v>478000</v>
      </c>
      <c r="N30" s="62"/>
      <c r="O30" s="102">
        <v>3.05</v>
      </c>
      <c r="P30" s="103">
        <f t="shared" si="0"/>
        <v>45689</v>
      </c>
      <c r="Q30" s="104">
        <f t="shared" si="1"/>
        <v>179.69924812030075</v>
      </c>
      <c r="R30" s="105">
        <f t="shared" si="2"/>
        <v>0.95409181636726548</v>
      </c>
      <c r="S30" s="101">
        <f t="shared" si="3"/>
        <v>-23000</v>
      </c>
      <c r="T30" s="104">
        <f t="shared" si="4"/>
        <v>14579</v>
      </c>
      <c r="U30" s="62">
        <f t="shared" si="5"/>
        <v>61</v>
      </c>
      <c r="V30" s="62" t="str">
        <f t="shared" si="6"/>
        <v>$400-500K</v>
      </c>
      <c r="W30" s="62" t="str">
        <f t="shared" si="7"/>
        <v/>
      </c>
      <c r="X30" s="62" t="s">
        <v>439</v>
      </c>
    </row>
    <row r="31" spans="1:24" x14ac:dyDescent="0.35">
      <c r="A31" s="62">
        <v>10202</v>
      </c>
      <c r="B31" s="98">
        <v>45718</v>
      </c>
      <c r="C31" s="62" t="s">
        <v>72</v>
      </c>
      <c r="D31" s="62" t="s">
        <v>26</v>
      </c>
      <c r="E31" s="62">
        <v>1</v>
      </c>
      <c r="F31" s="62">
        <v>1.5</v>
      </c>
      <c r="G31" s="99">
        <v>690</v>
      </c>
      <c r="H31" s="99">
        <v>0</v>
      </c>
      <c r="I31" s="100">
        <v>2018</v>
      </c>
      <c r="J31" s="62">
        <v>0</v>
      </c>
      <c r="K31" s="62" t="s">
        <v>179</v>
      </c>
      <c r="L31" s="101">
        <v>131000</v>
      </c>
      <c r="M31" s="101">
        <v>131000</v>
      </c>
      <c r="N31" s="62">
        <v>37</v>
      </c>
      <c r="O31" s="102">
        <v>2.74</v>
      </c>
      <c r="P31" s="103">
        <f t="shared" si="0"/>
        <v>45717</v>
      </c>
      <c r="Q31" s="104">
        <f t="shared" si="1"/>
        <v>189.85507246376812</v>
      </c>
      <c r="R31" s="105">
        <f t="shared" si="2"/>
        <v>1</v>
      </c>
      <c r="S31" s="101">
        <f t="shared" si="3"/>
        <v>0</v>
      </c>
      <c r="T31" s="104">
        <f t="shared" si="4"/>
        <v>3589.4</v>
      </c>
      <c r="U31" s="62">
        <f t="shared" si="5"/>
        <v>7</v>
      </c>
      <c r="V31" s="62" t="str">
        <f t="shared" si="6"/>
        <v>Under $200K</v>
      </c>
      <c r="W31" s="62" t="str">
        <f t="shared" si="7"/>
        <v/>
      </c>
      <c r="X31" s="62" t="s">
        <v>440</v>
      </c>
    </row>
    <row r="32" spans="1:24" x14ac:dyDescent="0.35">
      <c r="A32" s="62">
        <v>10106</v>
      </c>
      <c r="B32" s="98">
        <v>45721</v>
      </c>
      <c r="C32" s="62" t="s">
        <v>73</v>
      </c>
      <c r="D32" s="62" t="s">
        <v>27</v>
      </c>
      <c r="E32" s="62">
        <v>2</v>
      </c>
      <c r="F32" s="62">
        <v>1.5</v>
      </c>
      <c r="G32" s="99">
        <v>1200</v>
      </c>
      <c r="H32" s="99">
        <v>4070</v>
      </c>
      <c r="I32" s="100">
        <v>2018</v>
      </c>
      <c r="J32" s="62">
        <v>2</v>
      </c>
      <c r="K32" s="62" t="s">
        <v>179</v>
      </c>
      <c r="L32" s="101">
        <v>407000</v>
      </c>
      <c r="M32" s="101">
        <v>419000</v>
      </c>
      <c r="N32" s="62">
        <v>38</v>
      </c>
      <c r="O32" s="102">
        <v>2.52</v>
      </c>
      <c r="P32" s="103">
        <f t="shared" si="0"/>
        <v>45717</v>
      </c>
      <c r="Q32" s="104">
        <f t="shared" si="1"/>
        <v>349.16666666666669</v>
      </c>
      <c r="R32" s="105">
        <f t="shared" si="2"/>
        <v>1.0294840294840295</v>
      </c>
      <c r="S32" s="101">
        <f t="shared" si="3"/>
        <v>12000</v>
      </c>
      <c r="T32" s="104">
        <f t="shared" si="4"/>
        <v>10558.8</v>
      </c>
      <c r="U32" s="62">
        <f t="shared" si="5"/>
        <v>7</v>
      </c>
      <c r="V32" s="62" t="str">
        <f t="shared" si="6"/>
        <v>$400-500K</v>
      </c>
      <c r="W32" s="62" t="str">
        <f t="shared" si="7"/>
        <v/>
      </c>
      <c r="X32" s="62" t="s">
        <v>441</v>
      </c>
    </row>
    <row r="33" spans="1:24" x14ac:dyDescent="0.35">
      <c r="A33" s="62">
        <v>10003</v>
      </c>
      <c r="B33" s="98">
        <v>45723</v>
      </c>
      <c r="C33" s="62" t="s">
        <v>72</v>
      </c>
      <c r="D33" s="62" t="s">
        <v>27</v>
      </c>
      <c r="E33" s="62">
        <v>3</v>
      </c>
      <c r="F33" s="62">
        <v>3</v>
      </c>
      <c r="G33" s="99">
        <v>1590</v>
      </c>
      <c r="H33" s="99">
        <v>4020</v>
      </c>
      <c r="I33" s="100">
        <v>2021</v>
      </c>
      <c r="J33" s="62">
        <v>1</v>
      </c>
      <c r="K33" s="62" t="s">
        <v>178</v>
      </c>
      <c r="L33" s="101">
        <v>350000</v>
      </c>
      <c r="M33" s="101">
        <v>352000</v>
      </c>
      <c r="N33" s="62">
        <v>41</v>
      </c>
      <c r="O33" s="102">
        <v>2.54</v>
      </c>
      <c r="P33" s="103">
        <f t="shared" si="0"/>
        <v>45717</v>
      </c>
      <c r="Q33" s="104">
        <f t="shared" si="1"/>
        <v>221.38364779874215</v>
      </c>
      <c r="R33" s="105">
        <f t="shared" si="2"/>
        <v>1.0057142857142858</v>
      </c>
      <c r="S33" s="101">
        <f t="shared" si="3"/>
        <v>2000</v>
      </c>
      <c r="T33" s="104">
        <f t="shared" si="4"/>
        <v>8940.7999999999993</v>
      </c>
      <c r="U33" s="62">
        <f t="shared" si="5"/>
        <v>4</v>
      </c>
      <c r="V33" s="62" t="str">
        <f t="shared" si="6"/>
        <v>$300-400K</v>
      </c>
      <c r="W33" s="62" t="str">
        <f t="shared" si="7"/>
        <v/>
      </c>
      <c r="X33" s="62"/>
    </row>
    <row r="34" spans="1:24" x14ac:dyDescent="0.35">
      <c r="A34" s="62">
        <v>10104</v>
      </c>
      <c r="B34" s="98">
        <v>45724</v>
      </c>
      <c r="C34" s="62" t="s">
        <v>72</v>
      </c>
      <c r="D34" s="62" t="s">
        <v>27</v>
      </c>
      <c r="E34" s="62">
        <v>3</v>
      </c>
      <c r="F34" s="62">
        <v>2.5</v>
      </c>
      <c r="G34" s="99">
        <v>1550</v>
      </c>
      <c r="H34" s="99">
        <v>4630</v>
      </c>
      <c r="I34" s="100"/>
      <c r="J34" s="62">
        <v>2</v>
      </c>
      <c r="K34" s="62" t="s">
        <v>180</v>
      </c>
      <c r="L34" s="101">
        <v>262000</v>
      </c>
      <c r="M34" s="101">
        <v>247000</v>
      </c>
      <c r="N34" s="62">
        <v>100</v>
      </c>
      <c r="O34" s="102">
        <v>3.02</v>
      </c>
      <c r="P34" s="103">
        <f t="shared" si="0"/>
        <v>45717</v>
      </c>
      <c r="Q34" s="104">
        <f t="shared" si="1"/>
        <v>159.35483870967741</v>
      </c>
      <c r="R34" s="105">
        <f t="shared" si="2"/>
        <v>0.9427480916030534</v>
      </c>
      <c r="S34" s="101">
        <f t="shared" si="3"/>
        <v>-15000</v>
      </c>
      <c r="T34" s="104">
        <f t="shared" si="4"/>
        <v>7459.4</v>
      </c>
      <c r="U34" s="62" t="str">
        <f t="shared" si="5"/>
        <v/>
      </c>
      <c r="V34" s="62" t="str">
        <f t="shared" si="6"/>
        <v>$200-300K</v>
      </c>
      <c r="W34" s="62" t="str">
        <f t="shared" si="7"/>
        <v/>
      </c>
      <c r="X34" s="62" t="s">
        <v>434</v>
      </c>
    </row>
    <row r="35" spans="1:24" x14ac:dyDescent="0.35">
      <c r="A35" s="62">
        <v>10210</v>
      </c>
      <c r="B35" s="98">
        <v>45724</v>
      </c>
      <c r="C35" s="62" t="s">
        <v>74</v>
      </c>
      <c r="D35" s="62" t="s">
        <v>28</v>
      </c>
      <c r="E35" s="62">
        <v>3</v>
      </c>
      <c r="F35" s="62">
        <v>2</v>
      </c>
      <c r="G35" s="99">
        <v>1620</v>
      </c>
      <c r="H35" s="99">
        <v>1550</v>
      </c>
      <c r="I35" s="100">
        <v>2016</v>
      </c>
      <c r="J35" s="62">
        <v>1</v>
      </c>
      <c r="K35" s="62" t="s">
        <v>178</v>
      </c>
      <c r="L35" s="101">
        <v>343000</v>
      </c>
      <c r="M35" s="101">
        <v>333000</v>
      </c>
      <c r="N35" s="62">
        <v>37</v>
      </c>
      <c r="O35" s="102">
        <v>3.04</v>
      </c>
      <c r="P35" s="103">
        <f t="shared" si="0"/>
        <v>45717</v>
      </c>
      <c r="Q35" s="104">
        <f t="shared" si="1"/>
        <v>205.55555555555554</v>
      </c>
      <c r="R35" s="105">
        <f t="shared" si="2"/>
        <v>0.9708454810495627</v>
      </c>
      <c r="S35" s="101">
        <f t="shared" si="3"/>
        <v>-10000</v>
      </c>
      <c r="T35" s="104">
        <f t="shared" si="4"/>
        <v>10123.200000000001</v>
      </c>
      <c r="U35" s="62">
        <f t="shared" si="5"/>
        <v>9</v>
      </c>
      <c r="V35" s="62" t="str">
        <f t="shared" si="6"/>
        <v>$300-400K</v>
      </c>
      <c r="W35" s="62" t="str">
        <f t="shared" si="7"/>
        <v/>
      </c>
      <c r="X35" s="62"/>
    </row>
    <row r="36" spans="1:24" x14ac:dyDescent="0.35">
      <c r="A36" s="62">
        <v>10186</v>
      </c>
      <c r="B36" s="98">
        <v>45725</v>
      </c>
      <c r="C36" s="62" t="s">
        <v>74</v>
      </c>
      <c r="D36" s="62" t="s">
        <v>27</v>
      </c>
      <c r="E36" s="62">
        <v>5</v>
      </c>
      <c r="F36" s="62">
        <v>3.5</v>
      </c>
      <c r="G36" s="99">
        <v>2580</v>
      </c>
      <c r="H36" s="99">
        <v>6430</v>
      </c>
      <c r="I36" s="100">
        <v>2022</v>
      </c>
      <c r="J36" s="62">
        <v>2</v>
      </c>
      <c r="K36" s="62" t="s">
        <v>181</v>
      </c>
      <c r="L36" s="101">
        <v>476000</v>
      </c>
      <c r="M36" s="101">
        <v>443000</v>
      </c>
      <c r="N36" s="62">
        <v>87</v>
      </c>
      <c r="O36" s="102">
        <v>3.03</v>
      </c>
      <c r="P36" s="103">
        <f t="shared" si="0"/>
        <v>45717</v>
      </c>
      <c r="Q36" s="104">
        <f t="shared" si="1"/>
        <v>171.70542635658916</v>
      </c>
      <c r="R36" s="105">
        <f t="shared" si="2"/>
        <v>0.93067226890756305</v>
      </c>
      <c r="S36" s="101">
        <f t="shared" si="3"/>
        <v>-33000</v>
      </c>
      <c r="T36" s="104">
        <f t="shared" si="4"/>
        <v>13422.9</v>
      </c>
      <c r="U36" s="62">
        <f t="shared" si="5"/>
        <v>3</v>
      </c>
      <c r="V36" s="62" t="str">
        <f t="shared" si="6"/>
        <v>$400-500K</v>
      </c>
      <c r="W36" s="62" t="str">
        <f t="shared" si="7"/>
        <v/>
      </c>
      <c r="X36" s="62" t="s">
        <v>442</v>
      </c>
    </row>
    <row r="37" spans="1:24" x14ac:dyDescent="0.35">
      <c r="A37" s="62">
        <v>10015</v>
      </c>
      <c r="B37" s="98">
        <v>45734</v>
      </c>
      <c r="C37" s="62" t="s">
        <v>76</v>
      </c>
      <c r="D37" s="62" t="s">
        <v>26</v>
      </c>
      <c r="E37" s="62">
        <v>3</v>
      </c>
      <c r="F37" s="62">
        <v>3</v>
      </c>
      <c r="G37" s="99">
        <v>1890</v>
      </c>
      <c r="H37" s="99">
        <v>0</v>
      </c>
      <c r="I37" s="100">
        <v>1966</v>
      </c>
      <c r="J37" s="62">
        <v>1</v>
      </c>
      <c r="K37" s="62" t="s">
        <v>179</v>
      </c>
      <c r="L37" s="101">
        <v>358000</v>
      </c>
      <c r="M37" s="101">
        <v>334000</v>
      </c>
      <c r="N37" s="62">
        <v>43</v>
      </c>
      <c r="O37" s="102">
        <v>3</v>
      </c>
      <c r="P37" s="103">
        <f t="shared" si="0"/>
        <v>45717</v>
      </c>
      <c r="Q37" s="104">
        <f t="shared" si="1"/>
        <v>176.71957671957671</v>
      </c>
      <c r="R37" s="105">
        <f t="shared" si="2"/>
        <v>0.93296089385474856</v>
      </c>
      <c r="S37" s="101">
        <f t="shared" si="3"/>
        <v>-24000</v>
      </c>
      <c r="T37" s="104">
        <f t="shared" si="4"/>
        <v>10020</v>
      </c>
      <c r="U37" s="62">
        <f t="shared" si="5"/>
        <v>59</v>
      </c>
      <c r="V37" s="62" t="str">
        <f t="shared" si="6"/>
        <v>$300-400K</v>
      </c>
      <c r="W37" s="62" t="str">
        <f t="shared" si="7"/>
        <v/>
      </c>
      <c r="X37" s="62" t="s">
        <v>443</v>
      </c>
    </row>
    <row r="38" spans="1:24" x14ac:dyDescent="0.35">
      <c r="A38" s="62">
        <v>10132</v>
      </c>
      <c r="B38" s="98">
        <v>45734</v>
      </c>
      <c r="C38" s="62" t="s">
        <v>72</v>
      </c>
      <c r="D38" s="62" t="s">
        <v>26</v>
      </c>
      <c r="E38" s="62">
        <v>2</v>
      </c>
      <c r="F38" s="62">
        <v>2</v>
      </c>
      <c r="G38" s="99">
        <v>1070</v>
      </c>
      <c r="H38" s="99">
        <v>0</v>
      </c>
      <c r="I38" s="100">
        <v>1989</v>
      </c>
      <c r="J38" s="62">
        <v>0</v>
      </c>
      <c r="K38" s="62" t="s">
        <v>178</v>
      </c>
      <c r="L38" s="101">
        <v>196000</v>
      </c>
      <c r="M38" s="101">
        <v>190000</v>
      </c>
      <c r="N38" s="62">
        <v>45</v>
      </c>
      <c r="O38" s="102">
        <v>2.97</v>
      </c>
      <c r="P38" s="103">
        <f t="shared" si="0"/>
        <v>45717</v>
      </c>
      <c r="Q38" s="104">
        <f t="shared" si="1"/>
        <v>177.57009345794393</v>
      </c>
      <c r="R38" s="105">
        <f t="shared" si="2"/>
        <v>0.96938775510204078</v>
      </c>
      <c r="S38" s="101">
        <f t="shared" si="3"/>
        <v>-6000</v>
      </c>
      <c r="T38" s="104">
        <f t="shared" si="4"/>
        <v>5643</v>
      </c>
      <c r="U38" s="62">
        <f t="shared" si="5"/>
        <v>36</v>
      </c>
      <c r="V38" s="62" t="str">
        <f t="shared" si="6"/>
        <v>Under $200K</v>
      </c>
      <c r="W38" s="62" t="str">
        <f t="shared" si="7"/>
        <v/>
      </c>
      <c r="X38" s="62" t="s">
        <v>433</v>
      </c>
    </row>
    <row r="39" spans="1:24" x14ac:dyDescent="0.35">
      <c r="A39" s="62">
        <v>10062</v>
      </c>
      <c r="B39" s="98">
        <v>45735</v>
      </c>
      <c r="C39" s="62" t="s">
        <v>75</v>
      </c>
      <c r="D39" s="62" t="s">
        <v>27</v>
      </c>
      <c r="E39" s="62">
        <v>6</v>
      </c>
      <c r="F39" s="62">
        <v>5.5</v>
      </c>
      <c r="G39" s="99">
        <v>6400</v>
      </c>
      <c r="H39" s="99">
        <v>41000</v>
      </c>
      <c r="I39" s="100">
        <v>2019</v>
      </c>
      <c r="J39" s="62">
        <v>4</v>
      </c>
      <c r="K39" s="62" t="s">
        <v>178</v>
      </c>
      <c r="L39" s="101">
        <v>3450000</v>
      </c>
      <c r="M39" s="101">
        <v>3310000</v>
      </c>
      <c r="N39" s="62">
        <v>61</v>
      </c>
      <c r="O39" s="102">
        <v>2.4900000000000002</v>
      </c>
      <c r="P39" s="103">
        <f t="shared" si="0"/>
        <v>45717</v>
      </c>
      <c r="Q39" s="104">
        <f t="shared" si="1"/>
        <v>517.1875</v>
      </c>
      <c r="R39" s="105">
        <f t="shared" si="2"/>
        <v>0.95942028985507244</v>
      </c>
      <c r="S39" s="101">
        <f t="shared" si="3"/>
        <v>-140000</v>
      </c>
      <c r="T39" s="104">
        <f t="shared" si="4"/>
        <v>82419.000000000015</v>
      </c>
      <c r="U39" s="62">
        <f t="shared" si="5"/>
        <v>6</v>
      </c>
      <c r="V39" s="62" t="str">
        <f t="shared" si="6"/>
        <v>$800K+</v>
      </c>
      <c r="W39" s="62" t="str">
        <f t="shared" si="7"/>
        <v>High price $/sqft</v>
      </c>
      <c r="X39" s="62"/>
    </row>
    <row r="40" spans="1:24" x14ac:dyDescent="0.35">
      <c r="A40" s="62">
        <v>10031</v>
      </c>
      <c r="B40" s="98">
        <v>45737</v>
      </c>
      <c r="C40" s="62" t="s">
        <v>73</v>
      </c>
      <c r="D40" s="62" t="s">
        <v>27</v>
      </c>
      <c r="E40" s="62">
        <v>3</v>
      </c>
      <c r="F40" s="62">
        <v>2.5</v>
      </c>
      <c r="G40" s="99">
        <v>1640</v>
      </c>
      <c r="H40" s="99">
        <v>6560</v>
      </c>
      <c r="I40" s="100">
        <v>1998</v>
      </c>
      <c r="J40" s="62">
        <v>2</v>
      </c>
      <c r="K40" s="62" t="s">
        <v>178</v>
      </c>
      <c r="L40" s="101">
        <v>535000</v>
      </c>
      <c r="M40" s="101">
        <v>489000</v>
      </c>
      <c r="N40" s="62">
        <v>41</v>
      </c>
      <c r="O40" s="102">
        <v>2.99</v>
      </c>
      <c r="P40" s="103">
        <f t="shared" si="0"/>
        <v>45717</v>
      </c>
      <c r="Q40" s="104">
        <f t="shared" si="1"/>
        <v>298.17073170731709</v>
      </c>
      <c r="R40" s="105">
        <f t="shared" si="2"/>
        <v>0.91401869158878501</v>
      </c>
      <c r="S40" s="101">
        <f t="shared" si="3"/>
        <v>-46000</v>
      </c>
      <c r="T40" s="104">
        <f t="shared" si="4"/>
        <v>14621.1</v>
      </c>
      <c r="U40" s="62">
        <f t="shared" si="5"/>
        <v>27</v>
      </c>
      <c r="V40" s="62" t="str">
        <f t="shared" si="6"/>
        <v>$400-500K</v>
      </c>
      <c r="W40" s="62" t="str">
        <f t="shared" si="7"/>
        <v/>
      </c>
      <c r="X40" s="62"/>
    </row>
    <row r="41" spans="1:24" x14ac:dyDescent="0.35">
      <c r="A41" s="62">
        <v>10237</v>
      </c>
      <c r="B41" s="98">
        <v>45737</v>
      </c>
      <c r="C41" s="62" t="s">
        <v>76</v>
      </c>
      <c r="D41" s="62" t="s">
        <v>27</v>
      </c>
      <c r="E41" s="62">
        <v>5</v>
      </c>
      <c r="F41" s="62">
        <v>3.5</v>
      </c>
      <c r="G41" s="99">
        <v>2520</v>
      </c>
      <c r="H41" s="99">
        <v>6390</v>
      </c>
      <c r="I41" s="100">
        <v>2015</v>
      </c>
      <c r="J41" s="62">
        <v>2</v>
      </c>
      <c r="K41" s="62" t="s">
        <v>180</v>
      </c>
      <c r="L41" s="101">
        <v>476000</v>
      </c>
      <c r="M41" s="101">
        <v>463000</v>
      </c>
      <c r="N41" s="62">
        <v>54</v>
      </c>
      <c r="O41" s="102">
        <v>3.04</v>
      </c>
      <c r="P41" s="103">
        <f t="shared" si="0"/>
        <v>45717</v>
      </c>
      <c r="Q41" s="104">
        <f t="shared" si="1"/>
        <v>183.73015873015873</v>
      </c>
      <c r="R41" s="105">
        <f t="shared" si="2"/>
        <v>0.97268907563025209</v>
      </c>
      <c r="S41" s="101">
        <f t="shared" si="3"/>
        <v>-13000</v>
      </c>
      <c r="T41" s="104">
        <f t="shared" si="4"/>
        <v>14075.2</v>
      </c>
      <c r="U41" s="62">
        <f t="shared" si="5"/>
        <v>10</v>
      </c>
      <c r="V41" s="62" t="str">
        <f t="shared" si="6"/>
        <v>$400-500K</v>
      </c>
      <c r="W41" s="62" t="str">
        <f t="shared" si="7"/>
        <v/>
      </c>
      <c r="X41" s="62" t="s">
        <v>444</v>
      </c>
    </row>
    <row r="42" spans="1:24" x14ac:dyDescent="0.35">
      <c r="A42" s="62">
        <v>10099</v>
      </c>
      <c r="B42" s="98">
        <v>45738</v>
      </c>
      <c r="C42" s="62" t="s">
        <v>75</v>
      </c>
      <c r="D42" s="62" t="s">
        <v>27</v>
      </c>
      <c r="E42" s="62">
        <v>3</v>
      </c>
      <c r="F42" s="62">
        <v>2.5</v>
      </c>
      <c r="G42" s="99">
        <v>1880</v>
      </c>
      <c r="H42" s="99">
        <v>8190</v>
      </c>
      <c r="I42" s="100">
        <v>2010</v>
      </c>
      <c r="J42" s="62">
        <v>2</v>
      </c>
      <c r="K42" s="62" t="s">
        <v>182</v>
      </c>
      <c r="L42" s="101">
        <v>539000</v>
      </c>
      <c r="M42" s="101">
        <v>513000</v>
      </c>
      <c r="N42" s="62">
        <v>93</v>
      </c>
      <c r="O42" s="102">
        <v>3.25</v>
      </c>
      <c r="P42" s="103">
        <f t="shared" si="0"/>
        <v>45717</v>
      </c>
      <c r="Q42" s="104">
        <f t="shared" si="1"/>
        <v>272.87234042553189</v>
      </c>
      <c r="R42" s="105">
        <f t="shared" si="2"/>
        <v>0.95176252319109467</v>
      </c>
      <c r="S42" s="101">
        <f t="shared" si="3"/>
        <v>-26000</v>
      </c>
      <c r="T42" s="104">
        <f t="shared" si="4"/>
        <v>16672.5</v>
      </c>
      <c r="U42" s="62">
        <f t="shared" si="5"/>
        <v>15</v>
      </c>
      <c r="V42" s="62" t="str">
        <f t="shared" si="6"/>
        <v>$500-600K</v>
      </c>
      <c r="W42" s="62" t="str">
        <f t="shared" si="7"/>
        <v/>
      </c>
      <c r="X42" s="62" t="s">
        <v>445</v>
      </c>
    </row>
    <row r="43" spans="1:24" x14ac:dyDescent="0.35">
      <c r="A43" s="62">
        <v>10235</v>
      </c>
      <c r="B43" s="98">
        <v>45740</v>
      </c>
      <c r="C43" s="62" t="s">
        <v>72</v>
      </c>
      <c r="D43" s="62" t="s">
        <v>27</v>
      </c>
      <c r="E43" s="62">
        <v>4</v>
      </c>
      <c r="F43" s="62">
        <v>3</v>
      </c>
      <c r="G43" s="99">
        <v>1960</v>
      </c>
      <c r="H43" s="99">
        <v>6730</v>
      </c>
      <c r="I43" s="100">
        <v>1998</v>
      </c>
      <c r="J43" s="62">
        <v>2</v>
      </c>
      <c r="K43" s="62" t="s">
        <v>179</v>
      </c>
      <c r="L43" s="101">
        <v>335000</v>
      </c>
      <c r="M43" s="101">
        <v>320000</v>
      </c>
      <c r="N43" s="62">
        <v>64</v>
      </c>
      <c r="O43" s="102">
        <v>3.04</v>
      </c>
      <c r="P43" s="103">
        <f t="shared" si="0"/>
        <v>45717</v>
      </c>
      <c r="Q43" s="104">
        <f t="shared" si="1"/>
        <v>163.26530612244898</v>
      </c>
      <c r="R43" s="105">
        <f t="shared" si="2"/>
        <v>0.95522388059701491</v>
      </c>
      <c r="S43" s="101">
        <f t="shared" si="3"/>
        <v>-15000</v>
      </c>
      <c r="T43" s="104">
        <f t="shared" si="4"/>
        <v>9728</v>
      </c>
      <c r="U43" s="62">
        <f t="shared" si="5"/>
        <v>27</v>
      </c>
      <c r="V43" s="62" t="str">
        <f t="shared" si="6"/>
        <v>$300-400K</v>
      </c>
      <c r="W43" s="62" t="str">
        <f t="shared" si="7"/>
        <v/>
      </c>
      <c r="X43" s="62"/>
    </row>
    <row r="44" spans="1:24" x14ac:dyDescent="0.35">
      <c r="A44" s="62">
        <v>10116</v>
      </c>
      <c r="B44" s="98">
        <v>45742</v>
      </c>
      <c r="C44" s="62" t="s">
        <v>72</v>
      </c>
      <c r="D44" s="62" t="s">
        <v>27</v>
      </c>
      <c r="E44" s="62">
        <v>4</v>
      </c>
      <c r="F44" s="62">
        <v>3.5</v>
      </c>
      <c r="G44" s="99">
        <v>1960</v>
      </c>
      <c r="H44" s="99">
        <v>5550</v>
      </c>
      <c r="I44" s="100">
        <v>2017</v>
      </c>
      <c r="J44" s="62">
        <v>2</v>
      </c>
      <c r="K44" s="62" t="s">
        <v>179</v>
      </c>
      <c r="L44" s="101">
        <v>408000</v>
      </c>
      <c r="M44" s="101">
        <v>392000</v>
      </c>
      <c r="N44" s="62">
        <v>49</v>
      </c>
      <c r="O44" s="102">
        <v>3.18</v>
      </c>
      <c r="P44" s="103">
        <f t="shared" si="0"/>
        <v>45717</v>
      </c>
      <c r="Q44" s="104">
        <f t="shared" si="1"/>
        <v>200</v>
      </c>
      <c r="R44" s="105">
        <f t="shared" si="2"/>
        <v>0.96078431372549022</v>
      </c>
      <c r="S44" s="101">
        <f t="shared" si="3"/>
        <v>-16000</v>
      </c>
      <c r="T44" s="104">
        <f t="shared" si="4"/>
        <v>12465.6</v>
      </c>
      <c r="U44" s="62">
        <f t="shared" si="5"/>
        <v>8</v>
      </c>
      <c r="V44" s="62" t="str">
        <f t="shared" si="6"/>
        <v>$300-400K</v>
      </c>
      <c r="W44" s="62" t="str">
        <f t="shared" si="7"/>
        <v/>
      </c>
      <c r="X44" s="62"/>
    </row>
    <row r="45" spans="1:24" x14ac:dyDescent="0.35">
      <c r="A45" s="62">
        <v>10156</v>
      </c>
      <c r="B45" s="98">
        <v>45743</v>
      </c>
      <c r="C45" s="62" t="s">
        <v>74</v>
      </c>
      <c r="D45" s="62" t="s">
        <v>26</v>
      </c>
      <c r="E45" s="62">
        <v>2</v>
      </c>
      <c r="F45" s="62">
        <v>2</v>
      </c>
      <c r="G45" s="99">
        <v>1400</v>
      </c>
      <c r="H45" s="99">
        <v>0</v>
      </c>
      <c r="I45" s="100">
        <v>2015</v>
      </c>
      <c r="J45" s="62">
        <v>1</v>
      </c>
      <c r="K45" s="62" t="s">
        <v>180</v>
      </c>
      <c r="L45" s="101">
        <v>270000</v>
      </c>
      <c r="M45" s="101">
        <v>264000</v>
      </c>
      <c r="N45" s="62"/>
      <c r="O45" s="102">
        <v>2.95</v>
      </c>
      <c r="P45" s="103">
        <f t="shared" si="0"/>
        <v>45717</v>
      </c>
      <c r="Q45" s="104">
        <f t="shared" si="1"/>
        <v>188.57142857142858</v>
      </c>
      <c r="R45" s="105">
        <f t="shared" si="2"/>
        <v>0.97777777777777775</v>
      </c>
      <c r="S45" s="101">
        <f t="shared" si="3"/>
        <v>-6000</v>
      </c>
      <c r="T45" s="104">
        <f t="shared" si="4"/>
        <v>7788</v>
      </c>
      <c r="U45" s="62">
        <f t="shared" si="5"/>
        <v>10</v>
      </c>
      <c r="V45" s="62" t="str">
        <f t="shared" si="6"/>
        <v>$200-300K</v>
      </c>
      <c r="W45" s="62" t="str">
        <f t="shared" si="7"/>
        <v/>
      </c>
      <c r="X45" s="62" t="s">
        <v>446</v>
      </c>
    </row>
    <row r="46" spans="1:24" x14ac:dyDescent="0.35">
      <c r="A46" s="62">
        <v>10113</v>
      </c>
      <c r="B46" s="98">
        <v>45744</v>
      </c>
      <c r="C46" s="62" t="s">
        <v>76</v>
      </c>
      <c r="D46" s="62" t="s">
        <v>27</v>
      </c>
      <c r="E46" s="62">
        <v>4</v>
      </c>
      <c r="F46" s="62">
        <v>4</v>
      </c>
      <c r="G46" s="99">
        <v>2230</v>
      </c>
      <c r="H46" s="99">
        <v>5110</v>
      </c>
      <c r="I46" s="100">
        <v>2016</v>
      </c>
      <c r="J46" s="62">
        <v>2</v>
      </c>
      <c r="K46" s="62" t="s">
        <v>180</v>
      </c>
      <c r="L46" s="101">
        <v>479000</v>
      </c>
      <c r="M46" s="101">
        <v>487000</v>
      </c>
      <c r="N46" s="62">
        <v>44</v>
      </c>
      <c r="O46" s="102">
        <v>3.33</v>
      </c>
      <c r="P46" s="103">
        <f t="shared" si="0"/>
        <v>45717</v>
      </c>
      <c r="Q46" s="104">
        <f t="shared" si="1"/>
        <v>218.38565022421525</v>
      </c>
      <c r="R46" s="105">
        <f t="shared" si="2"/>
        <v>1.0167014613778707</v>
      </c>
      <c r="S46" s="101">
        <f t="shared" si="3"/>
        <v>8000</v>
      </c>
      <c r="T46" s="104">
        <f t="shared" si="4"/>
        <v>16217.1</v>
      </c>
      <c r="U46" s="62">
        <f t="shared" si="5"/>
        <v>9</v>
      </c>
      <c r="V46" s="62" t="str">
        <f t="shared" si="6"/>
        <v>$400-500K</v>
      </c>
      <c r="W46" s="62" t="str">
        <f t="shared" si="7"/>
        <v/>
      </c>
      <c r="X46" s="62" t="s">
        <v>433</v>
      </c>
    </row>
    <row r="47" spans="1:24" x14ac:dyDescent="0.35">
      <c r="A47" s="62">
        <v>10218</v>
      </c>
      <c r="B47" s="98">
        <v>45745</v>
      </c>
      <c r="C47" s="62" t="s">
        <v>75</v>
      </c>
      <c r="D47" s="62" t="s">
        <v>26</v>
      </c>
      <c r="E47" s="62">
        <v>1</v>
      </c>
      <c r="F47" s="62">
        <v>1</v>
      </c>
      <c r="G47" s="99">
        <v>940</v>
      </c>
      <c r="H47" s="99">
        <v>0</v>
      </c>
      <c r="I47" s="100">
        <v>1980</v>
      </c>
      <c r="J47" s="62">
        <v>0</v>
      </c>
      <c r="K47" s="62" t="s">
        <v>178</v>
      </c>
      <c r="L47" s="101">
        <v>253000</v>
      </c>
      <c r="M47" s="101">
        <v>244000</v>
      </c>
      <c r="N47" s="62">
        <v>26</v>
      </c>
      <c r="O47" s="102">
        <v>3.32</v>
      </c>
      <c r="P47" s="103">
        <f t="shared" si="0"/>
        <v>45717</v>
      </c>
      <c r="Q47" s="104">
        <f t="shared" si="1"/>
        <v>259.57446808510639</v>
      </c>
      <c r="R47" s="105">
        <f t="shared" si="2"/>
        <v>0.96442687747035571</v>
      </c>
      <c r="S47" s="101">
        <f t="shared" si="3"/>
        <v>-9000</v>
      </c>
      <c r="T47" s="104">
        <f t="shared" si="4"/>
        <v>8100.8</v>
      </c>
      <c r="U47" s="62">
        <f t="shared" si="5"/>
        <v>45</v>
      </c>
      <c r="V47" s="62" t="str">
        <f t="shared" si="6"/>
        <v>$200-300K</v>
      </c>
      <c r="W47" s="62" t="str">
        <f t="shared" si="7"/>
        <v/>
      </c>
      <c r="X47" s="62" t="s">
        <v>433</v>
      </c>
    </row>
    <row r="48" spans="1:24" x14ac:dyDescent="0.35">
      <c r="A48" s="62">
        <v>10018</v>
      </c>
      <c r="B48" s="98">
        <v>45746</v>
      </c>
      <c r="C48" s="62" t="s">
        <v>75</v>
      </c>
      <c r="D48" s="62" t="s">
        <v>27</v>
      </c>
      <c r="E48" s="62">
        <v>5</v>
      </c>
      <c r="F48" s="62">
        <v>3.5</v>
      </c>
      <c r="G48" s="99">
        <v>2350</v>
      </c>
      <c r="H48" s="99">
        <v>5240</v>
      </c>
      <c r="I48" s="100">
        <v>1981</v>
      </c>
      <c r="J48" s="62">
        <v>1</v>
      </c>
      <c r="K48" s="62" t="s">
        <v>182</v>
      </c>
      <c r="L48" s="101">
        <v>555000</v>
      </c>
      <c r="M48" s="101">
        <v>548000</v>
      </c>
      <c r="N48" s="62">
        <v>69</v>
      </c>
      <c r="O48" s="102">
        <v>3.01</v>
      </c>
      <c r="P48" s="103">
        <f t="shared" si="0"/>
        <v>45717</v>
      </c>
      <c r="Q48" s="104">
        <f t="shared" si="1"/>
        <v>233.19148936170214</v>
      </c>
      <c r="R48" s="105">
        <f t="shared" si="2"/>
        <v>0.98738738738738741</v>
      </c>
      <c r="S48" s="101">
        <f t="shared" si="3"/>
        <v>-7000</v>
      </c>
      <c r="T48" s="104">
        <f t="shared" si="4"/>
        <v>16494.8</v>
      </c>
      <c r="U48" s="62">
        <f t="shared" si="5"/>
        <v>44</v>
      </c>
      <c r="V48" s="62" t="str">
        <f t="shared" si="6"/>
        <v>$500-600K</v>
      </c>
      <c r="W48" s="62" t="str">
        <f t="shared" si="7"/>
        <v/>
      </c>
      <c r="X48" s="62" t="s">
        <v>447</v>
      </c>
    </row>
    <row r="49" spans="1:24" x14ac:dyDescent="0.35">
      <c r="A49" s="62">
        <v>10039</v>
      </c>
      <c r="B49" s="98">
        <v>45746</v>
      </c>
      <c r="C49" s="62" t="s">
        <v>76</v>
      </c>
      <c r="D49" s="62" t="s">
        <v>27</v>
      </c>
      <c r="E49" s="62">
        <v>3</v>
      </c>
      <c r="F49" s="62">
        <v>2.5</v>
      </c>
      <c r="G49" s="99">
        <v>1860</v>
      </c>
      <c r="H49" s="99">
        <v>8070</v>
      </c>
      <c r="I49" s="100">
        <v>1970</v>
      </c>
      <c r="J49" s="62">
        <v>1</v>
      </c>
      <c r="K49" s="62" t="s">
        <v>180</v>
      </c>
      <c r="L49" s="101">
        <v>379000</v>
      </c>
      <c r="M49" s="101">
        <v>370000</v>
      </c>
      <c r="N49" s="62">
        <v>50</v>
      </c>
      <c r="O49" s="102">
        <v>3.1</v>
      </c>
      <c r="P49" s="103">
        <f t="shared" si="0"/>
        <v>45717</v>
      </c>
      <c r="Q49" s="104">
        <f t="shared" si="1"/>
        <v>198.92473118279571</v>
      </c>
      <c r="R49" s="105">
        <f t="shared" si="2"/>
        <v>0.9762532981530343</v>
      </c>
      <c r="S49" s="101">
        <f t="shared" si="3"/>
        <v>-9000</v>
      </c>
      <c r="T49" s="104">
        <f t="shared" si="4"/>
        <v>11470</v>
      </c>
      <c r="U49" s="62">
        <f t="shared" si="5"/>
        <v>55</v>
      </c>
      <c r="V49" s="62" t="str">
        <f t="shared" si="6"/>
        <v>$300-400K</v>
      </c>
      <c r="W49" s="62" t="str">
        <f t="shared" si="7"/>
        <v/>
      </c>
      <c r="X49" s="62"/>
    </row>
    <row r="50" spans="1:24" x14ac:dyDescent="0.35">
      <c r="A50" s="62">
        <v>10060</v>
      </c>
      <c r="B50" s="98">
        <v>45751</v>
      </c>
      <c r="C50" s="62" t="s">
        <v>75</v>
      </c>
      <c r="D50" s="62" t="s">
        <v>27</v>
      </c>
      <c r="E50" s="62">
        <v>5</v>
      </c>
      <c r="F50" s="62">
        <v>5.5</v>
      </c>
      <c r="G50" s="99">
        <v>2270</v>
      </c>
      <c r="H50" s="99">
        <v>7210</v>
      </c>
      <c r="I50" s="100">
        <v>2000</v>
      </c>
      <c r="J50" s="62">
        <v>2</v>
      </c>
      <c r="K50" s="62" t="s">
        <v>178</v>
      </c>
      <c r="L50" s="101">
        <v>674000</v>
      </c>
      <c r="M50" s="101">
        <v>697000</v>
      </c>
      <c r="N50" s="62">
        <v>32</v>
      </c>
      <c r="O50" s="102">
        <v>2.75</v>
      </c>
      <c r="P50" s="103">
        <f t="shared" si="0"/>
        <v>45748</v>
      </c>
      <c r="Q50" s="104">
        <f t="shared" si="1"/>
        <v>307.04845814977972</v>
      </c>
      <c r="R50" s="105">
        <f t="shared" si="2"/>
        <v>1.0341246290801187</v>
      </c>
      <c r="S50" s="101">
        <f t="shared" si="3"/>
        <v>23000</v>
      </c>
      <c r="T50" s="104">
        <f t="shared" si="4"/>
        <v>19167.5</v>
      </c>
      <c r="U50" s="62">
        <f t="shared" si="5"/>
        <v>25</v>
      </c>
      <c r="V50" s="62" t="str">
        <f t="shared" si="6"/>
        <v>$600-800K</v>
      </c>
      <c r="W50" s="62" t="str">
        <f t="shared" si="7"/>
        <v>High price</v>
      </c>
      <c r="X50" s="62"/>
    </row>
    <row r="51" spans="1:24" x14ac:dyDescent="0.35">
      <c r="A51" s="62">
        <v>10065</v>
      </c>
      <c r="B51" s="98">
        <v>45753</v>
      </c>
      <c r="C51" s="62" t="s">
        <v>74</v>
      </c>
      <c r="D51" s="62" t="s">
        <v>27</v>
      </c>
      <c r="E51" s="62">
        <v>2</v>
      </c>
      <c r="F51" s="62">
        <v>2.5</v>
      </c>
      <c r="G51" s="99">
        <v>1240</v>
      </c>
      <c r="H51" s="99">
        <v>4170</v>
      </c>
      <c r="I51" s="100">
        <v>2024</v>
      </c>
      <c r="J51" s="62">
        <v>2</v>
      </c>
      <c r="K51" s="62" t="s">
        <v>180</v>
      </c>
      <c r="L51" s="101">
        <v>333000</v>
      </c>
      <c r="M51" s="101">
        <v>315000</v>
      </c>
      <c r="N51" s="62">
        <v>56</v>
      </c>
      <c r="O51" s="102"/>
      <c r="P51" s="103">
        <f t="shared" si="0"/>
        <v>45748</v>
      </c>
      <c r="Q51" s="104">
        <f t="shared" si="1"/>
        <v>254.03225806451613</v>
      </c>
      <c r="R51" s="105">
        <f t="shared" si="2"/>
        <v>0.94594594594594594</v>
      </c>
      <c r="S51" s="101">
        <f t="shared" si="3"/>
        <v>-18000</v>
      </c>
      <c r="T51" s="104" t="str">
        <f t="shared" si="4"/>
        <v/>
      </c>
      <c r="U51" s="62">
        <f t="shared" si="5"/>
        <v>1</v>
      </c>
      <c r="V51" s="62" t="str">
        <f t="shared" si="6"/>
        <v>$300-400K</v>
      </c>
      <c r="W51" s="62" t="str">
        <f t="shared" si="7"/>
        <v/>
      </c>
      <c r="X51" s="62" t="s">
        <v>430</v>
      </c>
    </row>
    <row r="52" spans="1:24" x14ac:dyDescent="0.35">
      <c r="A52" s="62">
        <v>10199</v>
      </c>
      <c r="B52" s="98">
        <v>45753</v>
      </c>
      <c r="C52" s="62" t="s">
        <v>75</v>
      </c>
      <c r="D52" s="62" t="s">
        <v>27</v>
      </c>
      <c r="E52" s="62">
        <v>4</v>
      </c>
      <c r="F52" s="62">
        <v>3</v>
      </c>
      <c r="G52" s="99">
        <v>2300</v>
      </c>
      <c r="H52" s="99">
        <v>6040</v>
      </c>
      <c r="I52" s="100">
        <v>2013</v>
      </c>
      <c r="J52" s="62">
        <v>2</v>
      </c>
      <c r="K52" s="62" t="s">
        <v>179</v>
      </c>
      <c r="L52" s="101">
        <v>643000</v>
      </c>
      <c r="M52" s="101">
        <v>636000</v>
      </c>
      <c r="N52" s="62">
        <v>59</v>
      </c>
      <c r="O52" s="102">
        <v>2.72</v>
      </c>
      <c r="P52" s="103">
        <f t="shared" si="0"/>
        <v>45748</v>
      </c>
      <c r="Q52" s="104">
        <f t="shared" si="1"/>
        <v>276.52173913043481</v>
      </c>
      <c r="R52" s="105">
        <f t="shared" si="2"/>
        <v>0.9891135303265941</v>
      </c>
      <c r="S52" s="101">
        <f t="shared" si="3"/>
        <v>-7000</v>
      </c>
      <c r="T52" s="104">
        <f t="shared" si="4"/>
        <v>17299.2</v>
      </c>
      <c r="U52" s="62">
        <f t="shared" si="5"/>
        <v>12</v>
      </c>
      <c r="V52" s="62" t="str">
        <f t="shared" si="6"/>
        <v>$600-800K</v>
      </c>
      <c r="W52" s="62" t="str">
        <f t="shared" si="7"/>
        <v/>
      </c>
      <c r="X52" s="62" t="s">
        <v>448</v>
      </c>
    </row>
    <row r="53" spans="1:24" x14ac:dyDescent="0.35">
      <c r="A53" s="62">
        <v>10194</v>
      </c>
      <c r="B53" s="98">
        <v>45759</v>
      </c>
      <c r="C53" s="62" t="s">
        <v>72</v>
      </c>
      <c r="D53" s="62" t="s">
        <v>27</v>
      </c>
      <c r="E53" s="62">
        <v>2</v>
      </c>
      <c r="F53" s="62">
        <v>1.5</v>
      </c>
      <c r="G53" s="99">
        <v>1240</v>
      </c>
      <c r="H53" s="99">
        <v>3470</v>
      </c>
      <c r="I53" s="100">
        <v>1983</v>
      </c>
      <c r="J53" s="62">
        <v>1</v>
      </c>
      <c r="K53" s="62" t="s">
        <v>181</v>
      </c>
      <c r="L53" s="101">
        <v>204000</v>
      </c>
      <c r="M53" s="101">
        <v>201000</v>
      </c>
      <c r="N53" s="62">
        <v>69</v>
      </c>
      <c r="O53" s="102">
        <v>2.74</v>
      </c>
      <c r="P53" s="103">
        <f t="shared" si="0"/>
        <v>45748</v>
      </c>
      <c r="Q53" s="104">
        <f t="shared" si="1"/>
        <v>162.09677419354838</v>
      </c>
      <c r="R53" s="105">
        <f t="shared" si="2"/>
        <v>0.98529411764705888</v>
      </c>
      <c r="S53" s="101">
        <f t="shared" si="3"/>
        <v>-3000</v>
      </c>
      <c r="T53" s="104">
        <f t="shared" si="4"/>
        <v>5507.4</v>
      </c>
      <c r="U53" s="62">
        <f t="shared" si="5"/>
        <v>42</v>
      </c>
      <c r="V53" s="62" t="str">
        <f t="shared" si="6"/>
        <v>$200-300K</v>
      </c>
      <c r="W53" s="62" t="str">
        <f t="shared" si="7"/>
        <v/>
      </c>
      <c r="X53" s="62"/>
    </row>
    <row r="54" spans="1:24" x14ac:dyDescent="0.35">
      <c r="A54" s="62">
        <v>10182</v>
      </c>
      <c r="B54" s="98">
        <v>45760</v>
      </c>
      <c r="C54" s="62" t="s">
        <v>72</v>
      </c>
      <c r="D54" s="62" t="s">
        <v>28</v>
      </c>
      <c r="E54" s="62">
        <v>2</v>
      </c>
      <c r="F54" s="62">
        <v>1.5</v>
      </c>
      <c r="G54" s="99">
        <v>1400</v>
      </c>
      <c r="H54" s="99">
        <v>2140</v>
      </c>
      <c r="I54" s="100">
        <v>1969</v>
      </c>
      <c r="J54" s="62">
        <v>1</v>
      </c>
      <c r="K54" s="62" t="s">
        <v>182</v>
      </c>
      <c r="L54" s="101">
        <v>216000</v>
      </c>
      <c r="M54" s="101">
        <v>214000</v>
      </c>
      <c r="N54" s="62">
        <v>45</v>
      </c>
      <c r="O54" s="102">
        <v>2.71</v>
      </c>
      <c r="P54" s="103">
        <f t="shared" si="0"/>
        <v>45748</v>
      </c>
      <c r="Q54" s="104">
        <f t="shared" si="1"/>
        <v>152.85714285714286</v>
      </c>
      <c r="R54" s="105">
        <f t="shared" si="2"/>
        <v>0.9907407407407407</v>
      </c>
      <c r="S54" s="101">
        <f t="shared" si="3"/>
        <v>-2000</v>
      </c>
      <c r="T54" s="104">
        <f t="shared" si="4"/>
        <v>5799.4</v>
      </c>
      <c r="U54" s="62">
        <f t="shared" si="5"/>
        <v>56</v>
      </c>
      <c r="V54" s="62" t="str">
        <f t="shared" si="6"/>
        <v>$200-300K</v>
      </c>
      <c r="W54" s="62" t="str">
        <f t="shared" si="7"/>
        <v/>
      </c>
      <c r="X54" s="62" t="s">
        <v>449</v>
      </c>
    </row>
    <row r="55" spans="1:24" x14ac:dyDescent="0.35">
      <c r="A55" s="62">
        <v>10088</v>
      </c>
      <c r="B55" s="98">
        <v>45762</v>
      </c>
      <c r="C55" s="62" t="s">
        <v>76</v>
      </c>
      <c r="D55" s="62" t="s">
        <v>28</v>
      </c>
      <c r="E55" s="62">
        <v>3</v>
      </c>
      <c r="F55" s="62">
        <v>2.5</v>
      </c>
      <c r="G55" s="99">
        <v>1600</v>
      </c>
      <c r="H55" s="99">
        <v>2360</v>
      </c>
      <c r="I55" s="100">
        <v>2003</v>
      </c>
      <c r="J55" s="62">
        <v>2</v>
      </c>
      <c r="K55" s="62" t="s">
        <v>178</v>
      </c>
      <c r="L55" s="101">
        <v>380000</v>
      </c>
      <c r="M55" s="101">
        <v>382000</v>
      </c>
      <c r="N55" s="62">
        <v>48</v>
      </c>
      <c r="O55" s="102">
        <v>3.18</v>
      </c>
      <c r="P55" s="103">
        <f t="shared" si="0"/>
        <v>45748</v>
      </c>
      <c r="Q55" s="104">
        <f t="shared" si="1"/>
        <v>238.75</v>
      </c>
      <c r="R55" s="105">
        <f t="shared" si="2"/>
        <v>1.0052631578947369</v>
      </c>
      <c r="S55" s="101">
        <f t="shared" si="3"/>
        <v>2000</v>
      </c>
      <c r="T55" s="104">
        <f t="shared" si="4"/>
        <v>12147.6</v>
      </c>
      <c r="U55" s="62">
        <f t="shared" si="5"/>
        <v>22</v>
      </c>
      <c r="V55" s="62" t="str">
        <f t="shared" si="6"/>
        <v>$300-400K</v>
      </c>
      <c r="W55" s="62" t="str">
        <f t="shared" si="7"/>
        <v/>
      </c>
      <c r="X55" s="62" t="s">
        <v>448</v>
      </c>
    </row>
    <row r="56" spans="1:24" x14ac:dyDescent="0.35">
      <c r="A56" s="62">
        <v>10093</v>
      </c>
      <c r="B56" s="98">
        <v>45763</v>
      </c>
      <c r="C56" s="62" t="s">
        <v>76</v>
      </c>
      <c r="D56" s="62" t="s">
        <v>28</v>
      </c>
      <c r="E56" s="62">
        <v>2</v>
      </c>
      <c r="F56" s="62">
        <v>1.5</v>
      </c>
      <c r="G56" s="99">
        <v>1210</v>
      </c>
      <c r="H56" s="99">
        <v>2540</v>
      </c>
      <c r="I56" s="100">
        <v>1985</v>
      </c>
      <c r="J56" s="62">
        <v>1</v>
      </c>
      <c r="K56" s="62" t="s">
        <v>178</v>
      </c>
      <c r="L56" s="101">
        <v>285000</v>
      </c>
      <c r="M56" s="101">
        <v>280000</v>
      </c>
      <c r="N56" s="62">
        <v>56</v>
      </c>
      <c r="O56" s="102">
        <v>3.02</v>
      </c>
      <c r="P56" s="103">
        <f t="shared" si="0"/>
        <v>45748</v>
      </c>
      <c r="Q56" s="104">
        <f t="shared" si="1"/>
        <v>231.40495867768595</v>
      </c>
      <c r="R56" s="105">
        <f t="shared" si="2"/>
        <v>0.98245614035087714</v>
      </c>
      <c r="S56" s="101">
        <f t="shared" si="3"/>
        <v>-5000</v>
      </c>
      <c r="T56" s="104">
        <f t="shared" si="4"/>
        <v>8456</v>
      </c>
      <c r="U56" s="62">
        <f t="shared" si="5"/>
        <v>40</v>
      </c>
      <c r="V56" s="62" t="str">
        <f t="shared" si="6"/>
        <v>$200-300K</v>
      </c>
      <c r="W56" s="62" t="str">
        <f t="shared" si="7"/>
        <v/>
      </c>
      <c r="X56" s="62"/>
    </row>
    <row r="57" spans="1:24" x14ac:dyDescent="0.35">
      <c r="A57" s="62">
        <v>10214</v>
      </c>
      <c r="B57" s="98">
        <v>45763</v>
      </c>
      <c r="C57" s="62" t="s">
        <v>73</v>
      </c>
      <c r="D57" s="62" t="s">
        <v>27</v>
      </c>
      <c r="E57" s="62">
        <v>3</v>
      </c>
      <c r="F57" s="62">
        <v>3</v>
      </c>
      <c r="G57" s="99">
        <v>1820</v>
      </c>
      <c r="H57" s="99">
        <v>7970</v>
      </c>
      <c r="I57" s="100">
        <v>1937</v>
      </c>
      <c r="J57" s="62">
        <v>1</v>
      </c>
      <c r="K57" s="62" t="s">
        <v>178</v>
      </c>
      <c r="L57" s="101">
        <v>609000</v>
      </c>
      <c r="M57" s="101">
        <v>599000</v>
      </c>
      <c r="N57" s="62">
        <v>24</v>
      </c>
      <c r="O57" s="102">
        <v>2.5499999999999998</v>
      </c>
      <c r="P57" s="103">
        <f t="shared" si="0"/>
        <v>45748</v>
      </c>
      <c r="Q57" s="104">
        <f t="shared" si="1"/>
        <v>329.12087912087912</v>
      </c>
      <c r="R57" s="105">
        <f t="shared" si="2"/>
        <v>0.98357963875205257</v>
      </c>
      <c r="S57" s="101">
        <f t="shared" si="3"/>
        <v>-10000</v>
      </c>
      <c r="T57" s="104">
        <f t="shared" si="4"/>
        <v>15274.5</v>
      </c>
      <c r="U57" s="62">
        <f t="shared" si="5"/>
        <v>88</v>
      </c>
      <c r="V57" s="62" t="str">
        <f t="shared" si="6"/>
        <v>$500-600K</v>
      </c>
      <c r="W57" s="62" t="str">
        <f t="shared" si="7"/>
        <v/>
      </c>
      <c r="X57" s="62" t="s">
        <v>433</v>
      </c>
    </row>
    <row r="58" spans="1:24" x14ac:dyDescent="0.35">
      <c r="A58" s="62">
        <v>10094</v>
      </c>
      <c r="B58" s="98">
        <v>45764</v>
      </c>
      <c r="C58" s="62" t="s">
        <v>76</v>
      </c>
      <c r="D58" s="62" t="s">
        <v>27</v>
      </c>
      <c r="E58" s="62">
        <v>4</v>
      </c>
      <c r="F58" s="62">
        <v>3</v>
      </c>
      <c r="G58" s="99">
        <v>2110</v>
      </c>
      <c r="H58" s="99">
        <v>5240</v>
      </c>
      <c r="I58" s="100">
        <v>2021</v>
      </c>
      <c r="J58" s="62">
        <v>2</v>
      </c>
      <c r="K58" s="62" t="s">
        <v>178</v>
      </c>
      <c r="L58" s="101">
        <v>585000</v>
      </c>
      <c r="M58" s="101">
        <v>590000</v>
      </c>
      <c r="N58" s="62">
        <v>61</v>
      </c>
      <c r="O58" s="102">
        <v>2.57</v>
      </c>
      <c r="P58" s="103">
        <f t="shared" si="0"/>
        <v>45748</v>
      </c>
      <c r="Q58" s="104">
        <f t="shared" si="1"/>
        <v>279.62085308056874</v>
      </c>
      <c r="R58" s="105">
        <f t="shared" si="2"/>
        <v>1.0085470085470085</v>
      </c>
      <c r="S58" s="101">
        <f t="shared" si="3"/>
        <v>5000</v>
      </c>
      <c r="T58" s="104">
        <f t="shared" si="4"/>
        <v>15163</v>
      </c>
      <c r="U58" s="62">
        <f t="shared" si="5"/>
        <v>4</v>
      </c>
      <c r="V58" s="62" t="str">
        <f t="shared" si="6"/>
        <v>$500-600K</v>
      </c>
      <c r="W58" s="62" t="str">
        <f t="shared" si="7"/>
        <v/>
      </c>
      <c r="X58" s="62" t="s">
        <v>441</v>
      </c>
    </row>
    <row r="59" spans="1:24" x14ac:dyDescent="0.35">
      <c r="A59" s="62">
        <v>10008</v>
      </c>
      <c r="B59" s="98">
        <v>45771</v>
      </c>
      <c r="C59" s="62" t="s">
        <v>73</v>
      </c>
      <c r="D59" s="62" t="s">
        <v>27</v>
      </c>
      <c r="E59" s="62">
        <v>4</v>
      </c>
      <c r="F59" s="62">
        <v>3</v>
      </c>
      <c r="G59" s="99">
        <v>1940</v>
      </c>
      <c r="H59" s="99">
        <v>4890</v>
      </c>
      <c r="I59" s="100">
        <v>1955</v>
      </c>
      <c r="J59" s="62">
        <v>0</v>
      </c>
      <c r="K59" s="62" t="s">
        <v>178</v>
      </c>
      <c r="L59" s="101">
        <v>682000</v>
      </c>
      <c r="M59" s="101">
        <v>654000</v>
      </c>
      <c r="N59" s="62">
        <v>66</v>
      </c>
      <c r="O59" s="102">
        <v>2.96</v>
      </c>
      <c r="P59" s="103">
        <f t="shared" si="0"/>
        <v>45748</v>
      </c>
      <c r="Q59" s="104">
        <f t="shared" si="1"/>
        <v>337.11340206185565</v>
      </c>
      <c r="R59" s="105">
        <f t="shared" si="2"/>
        <v>0.95894428152492672</v>
      </c>
      <c r="S59" s="101">
        <f t="shared" si="3"/>
        <v>-28000</v>
      </c>
      <c r="T59" s="104">
        <f t="shared" si="4"/>
        <v>19358.400000000001</v>
      </c>
      <c r="U59" s="62">
        <f t="shared" si="5"/>
        <v>70</v>
      </c>
      <c r="V59" s="62" t="str">
        <f t="shared" si="6"/>
        <v>$600-800K</v>
      </c>
      <c r="W59" s="62" t="str">
        <f t="shared" si="7"/>
        <v/>
      </c>
      <c r="X59" s="62"/>
    </row>
    <row r="60" spans="1:24" x14ac:dyDescent="0.35">
      <c r="A60" s="62">
        <v>10098</v>
      </c>
      <c r="B60" s="98">
        <v>45773</v>
      </c>
      <c r="C60" s="62" t="s">
        <v>75</v>
      </c>
      <c r="D60" s="62" t="s">
        <v>27</v>
      </c>
      <c r="E60" s="62">
        <v>3</v>
      </c>
      <c r="F60" s="62">
        <v>2.5</v>
      </c>
      <c r="G60" s="99">
        <v>1870</v>
      </c>
      <c r="H60" s="99">
        <v>7580</v>
      </c>
      <c r="I60" s="100">
        <v>1989</v>
      </c>
      <c r="J60" s="62">
        <v>0</v>
      </c>
      <c r="K60" s="62" t="s">
        <v>179</v>
      </c>
      <c r="L60" s="101">
        <v>516000</v>
      </c>
      <c r="M60" s="101">
        <v>496000</v>
      </c>
      <c r="N60" s="62">
        <v>51</v>
      </c>
      <c r="O60" s="102">
        <v>3</v>
      </c>
      <c r="P60" s="103">
        <f t="shared" si="0"/>
        <v>45748</v>
      </c>
      <c r="Q60" s="104">
        <f t="shared" si="1"/>
        <v>265.24064171122996</v>
      </c>
      <c r="R60" s="105">
        <f t="shared" si="2"/>
        <v>0.96124031007751942</v>
      </c>
      <c r="S60" s="101">
        <f t="shared" si="3"/>
        <v>-20000</v>
      </c>
      <c r="T60" s="104">
        <f t="shared" si="4"/>
        <v>14880</v>
      </c>
      <c r="U60" s="62">
        <f t="shared" si="5"/>
        <v>36</v>
      </c>
      <c r="V60" s="62" t="str">
        <f t="shared" si="6"/>
        <v>$400-500K</v>
      </c>
      <c r="W60" s="62" t="str">
        <f t="shared" si="7"/>
        <v/>
      </c>
      <c r="X60" s="62" t="s">
        <v>431</v>
      </c>
    </row>
    <row r="61" spans="1:24" x14ac:dyDescent="0.35">
      <c r="A61" s="62">
        <v>10216</v>
      </c>
      <c r="B61" s="98">
        <v>45773</v>
      </c>
      <c r="C61" s="62" t="s">
        <v>73</v>
      </c>
      <c r="D61" s="62" t="s">
        <v>26</v>
      </c>
      <c r="E61" s="62">
        <v>2</v>
      </c>
      <c r="F61" s="62">
        <v>1</v>
      </c>
      <c r="G61" s="99">
        <v>1040</v>
      </c>
      <c r="H61" s="99">
        <v>0</v>
      </c>
      <c r="I61" s="100">
        <v>1993</v>
      </c>
      <c r="J61" s="62">
        <v>0</v>
      </c>
      <c r="K61" s="62" t="s">
        <v>179</v>
      </c>
      <c r="L61" s="101">
        <v>334000</v>
      </c>
      <c r="M61" s="101">
        <v>319000</v>
      </c>
      <c r="N61" s="62">
        <v>62</v>
      </c>
      <c r="O61" s="102">
        <v>2.71</v>
      </c>
      <c r="P61" s="103">
        <f t="shared" si="0"/>
        <v>45748</v>
      </c>
      <c r="Q61" s="104">
        <f t="shared" si="1"/>
        <v>306.73076923076923</v>
      </c>
      <c r="R61" s="105">
        <f t="shared" si="2"/>
        <v>0.95508982035928147</v>
      </c>
      <c r="S61" s="101">
        <f t="shared" si="3"/>
        <v>-15000</v>
      </c>
      <c r="T61" s="104">
        <f t="shared" si="4"/>
        <v>8644.9</v>
      </c>
      <c r="U61" s="62">
        <f t="shared" si="5"/>
        <v>32</v>
      </c>
      <c r="V61" s="62" t="str">
        <f t="shared" si="6"/>
        <v>$300-400K</v>
      </c>
      <c r="W61" s="62" t="str">
        <f t="shared" si="7"/>
        <v/>
      </c>
      <c r="X61" s="62" t="s">
        <v>440</v>
      </c>
    </row>
    <row r="62" spans="1:24" x14ac:dyDescent="0.35">
      <c r="A62" s="62">
        <v>10236</v>
      </c>
      <c r="B62" s="98">
        <v>45776</v>
      </c>
      <c r="C62" s="62" t="s">
        <v>73</v>
      </c>
      <c r="D62" s="62" t="s">
        <v>27</v>
      </c>
      <c r="E62" s="62">
        <v>2</v>
      </c>
      <c r="F62" s="62">
        <v>1</v>
      </c>
      <c r="G62" s="99">
        <v>1380</v>
      </c>
      <c r="H62" s="99">
        <v>3980</v>
      </c>
      <c r="I62" s="100">
        <v>1951</v>
      </c>
      <c r="J62" s="62">
        <v>1</v>
      </c>
      <c r="K62" s="62" t="s">
        <v>180</v>
      </c>
      <c r="L62" s="101">
        <v>365000</v>
      </c>
      <c r="M62" s="101">
        <v>373000</v>
      </c>
      <c r="N62" s="62">
        <v>62</v>
      </c>
      <c r="O62" s="102">
        <v>3.21</v>
      </c>
      <c r="P62" s="103">
        <f t="shared" si="0"/>
        <v>45748</v>
      </c>
      <c r="Q62" s="104">
        <f t="shared" si="1"/>
        <v>270.28985507246375</v>
      </c>
      <c r="R62" s="105">
        <f t="shared" si="2"/>
        <v>1.021917808219178</v>
      </c>
      <c r="S62" s="101">
        <f t="shared" si="3"/>
        <v>8000</v>
      </c>
      <c r="T62" s="104">
        <f t="shared" si="4"/>
        <v>11973.3</v>
      </c>
      <c r="U62" s="62">
        <f t="shared" si="5"/>
        <v>74</v>
      </c>
      <c r="V62" s="62" t="str">
        <f t="shared" si="6"/>
        <v>$300-400K</v>
      </c>
      <c r="W62" s="62" t="str">
        <f t="shared" si="7"/>
        <v/>
      </c>
      <c r="X62" s="62"/>
    </row>
    <row r="63" spans="1:24" x14ac:dyDescent="0.35">
      <c r="A63" s="62">
        <v>10056</v>
      </c>
      <c r="B63" s="98">
        <v>45780</v>
      </c>
      <c r="C63" s="62" t="s">
        <v>73</v>
      </c>
      <c r="D63" s="62" t="s">
        <v>26</v>
      </c>
      <c r="E63" s="62">
        <v>1</v>
      </c>
      <c r="F63" s="62">
        <v>1</v>
      </c>
      <c r="G63" s="99">
        <v>920</v>
      </c>
      <c r="H63" s="99">
        <v>0</v>
      </c>
      <c r="I63" s="100">
        <v>2001</v>
      </c>
      <c r="J63" s="62">
        <v>0</v>
      </c>
      <c r="K63" s="62" t="s">
        <v>179</v>
      </c>
      <c r="L63" s="101">
        <v>313000</v>
      </c>
      <c r="M63" s="101">
        <v>294000</v>
      </c>
      <c r="N63" s="62">
        <v>62</v>
      </c>
      <c r="O63" s="102">
        <v>3.1</v>
      </c>
      <c r="P63" s="103">
        <f t="shared" si="0"/>
        <v>45778</v>
      </c>
      <c r="Q63" s="104">
        <f t="shared" si="1"/>
        <v>319.56521739130437</v>
      </c>
      <c r="R63" s="105">
        <f t="shared" si="2"/>
        <v>0.93929712460063897</v>
      </c>
      <c r="S63" s="101">
        <f t="shared" si="3"/>
        <v>-19000</v>
      </c>
      <c r="T63" s="104">
        <f t="shared" si="4"/>
        <v>9114</v>
      </c>
      <c r="U63" s="62">
        <f t="shared" si="5"/>
        <v>24</v>
      </c>
      <c r="V63" s="62" t="str">
        <f t="shared" si="6"/>
        <v>$200-300K</v>
      </c>
      <c r="W63" s="62" t="str">
        <f t="shared" si="7"/>
        <v/>
      </c>
      <c r="X63" s="62"/>
    </row>
    <row r="64" spans="1:24" x14ac:dyDescent="0.35">
      <c r="A64" s="62">
        <v>10211</v>
      </c>
      <c r="B64" s="98">
        <v>45780</v>
      </c>
      <c r="C64" s="62" t="s">
        <v>73</v>
      </c>
      <c r="D64" s="62" t="s">
        <v>27</v>
      </c>
      <c r="E64" s="62">
        <v>4</v>
      </c>
      <c r="F64" s="62">
        <v>2.5</v>
      </c>
      <c r="G64" s="99">
        <v>2150</v>
      </c>
      <c r="H64" s="99">
        <v>5160</v>
      </c>
      <c r="I64" s="100">
        <v>1968</v>
      </c>
      <c r="J64" s="62">
        <v>2</v>
      </c>
      <c r="K64" s="62" t="s">
        <v>178</v>
      </c>
      <c r="L64" s="101">
        <v>620000</v>
      </c>
      <c r="M64" s="101">
        <v>596000</v>
      </c>
      <c r="N64" s="62">
        <v>61</v>
      </c>
      <c r="O64" s="102">
        <v>3.05</v>
      </c>
      <c r="P64" s="103">
        <f t="shared" si="0"/>
        <v>45778</v>
      </c>
      <c r="Q64" s="104">
        <f t="shared" si="1"/>
        <v>277.2093023255814</v>
      </c>
      <c r="R64" s="105">
        <f t="shared" si="2"/>
        <v>0.96129032258064517</v>
      </c>
      <c r="S64" s="101">
        <f t="shared" si="3"/>
        <v>-24000</v>
      </c>
      <c r="T64" s="104">
        <f t="shared" si="4"/>
        <v>18178</v>
      </c>
      <c r="U64" s="62">
        <f t="shared" si="5"/>
        <v>57</v>
      </c>
      <c r="V64" s="62" t="str">
        <f t="shared" si="6"/>
        <v>$500-600K</v>
      </c>
      <c r="W64" s="62" t="str">
        <f t="shared" si="7"/>
        <v/>
      </c>
      <c r="X64" s="62"/>
    </row>
    <row r="65" spans="1:24" x14ac:dyDescent="0.35">
      <c r="A65" s="62">
        <v>10128</v>
      </c>
      <c r="B65" s="98">
        <v>45782</v>
      </c>
      <c r="C65" s="62" t="s">
        <v>75</v>
      </c>
      <c r="D65" s="62" t="s">
        <v>27</v>
      </c>
      <c r="E65" s="62">
        <v>4</v>
      </c>
      <c r="F65" s="62">
        <v>3</v>
      </c>
      <c r="G65" s="99">
        <v>2330</v>
      </c>
      <c r="H65" s="99">
        <v>10440</v>
      </c>
      <c r="I65" s="100">
        <v>2018</v>
      </c>
      <c r="J65" s="62">
        <v>1</v>
      </c>
      <c r="K65" s="62" t="s">
        <v>179</v>
      </c>
      <c r="L65" s="101">
        <v>615000</v>
      </c>
      <c r="M65" s="101">
        <v>608000</v>
      </c>
      <c r="N65" s="62">
        <v>38</v>
      </c>
      <c r="O65" s="102">
        <v>3.18</v>
      </c>
      <c r="P65" s="103">
        <f t="shared" si="0"/>
        <v>45778</v>
      </c>
      <c r="Q65" s="104">
        <f t="shared" si="1"/>
        <v>260.94420600858371</v>
      </c>
      <c r="R65" s="105">
        <f t="shared" si="2"/>
        <v>0.98861788617886182</v>
      </c>
      <c r="S65" s="101">
        <f t="shared" si="3"/>
        <v>-7000</v>
      </c>
      <c r="T65" s="104">
        <f t="shared" si="4"/>
        <v>19334.400000000001</v>
      </c>
      <c r="U65" s="62">
        <f t="shared" si="5"/>
        <v>7</v>
      </c>
      <c r="V65" s="62" t="str">
        <f t="shared" si="6"/>
        <v>$600-800K</v>
      </c>
      <c r="W65" s="62" t="str">
        <f t="shared" si="7"/>
        <v/>
      </c>
      <c r="X65" s="62" t="s">
        <v>441</v>
      </c>
    </row>
    <row r="66" spans="1:24" x14ac:dyDescent="0.35">
      <c r="A66" s="62">
        <v>10134</v>
      </c>
      <c r="B66" s="98">
        <v>45783</v>
      </c>
      <c r="C66" s="62" t="s">
        <v>76</v>
      </c>
      <c r="D66" s="62" t="s">
        <v>27</v>
      </c>
      <c r="E66" s="62">
        <v>5</v>
      </c>
      <c r="F66" s="62">
        <v>3.5</v>
      </c>
      <c r="G66" s="99">
        <v>2480</v>
      </c>
      <c r="H66" s="99">
        <v>9820</v>
      </c>
      <c r="I66" s="100">
        <v>2014</v>
      </c>
      <c r="J66" s="62">
        <v>2</v>
      </c>
      <c r="K66" s="62" t="s">
        <v>178</v>
      </c>
      <c r="L66" s="101">
        <v>591000</v>
      </c>
      <c r="M66" s="101">
        <v>596000</v>
      </c>
      <c r="N66" s="62">
        <v>48</v>
      </c>
      <c r="O66" s="102">
        <v>2.95</v>
      </c>
      <c r="P66" s="103">
        <f t="shared" ref="P66:P129" si="8">DATE(YEAR(B66),MONTH(B66),1)</f>
        <v>45778</v>
      </c>
      <c r="Q66" s="104">
        <f t="shared" ref="Q66:Q129" si="9">M66/G66</f>
        <v>240.32258064516128</v>
      </c>
      <c r="R66" s="105">
        <f t="shared" ref="R66:R129" si="10">M66/L66</f>
        <v>1.0084602368866329</v>
      </c>
      <c r="S66" s="101">
        <f t="shared" ref="S66:S129" si="11">M66-L66</f>
        <v>5000</v>
      </c>
      <c r="T66" s="104">
        <f t="shared" ref="T66:T129" si="12">IF(O66="","",M66*O66/100)</f>
        <v>17582</v>
      </c>
      <c r="U66" s="62">
        <f t="shared" ref="U66:U129" si="13">IF(I66="","",YEAR(B66)-I66)</f>
        <v>11</v>
      </c>
      <c r="V66" s="62" t="str">
        <f t="shared" ref="V66:V129" si="14">LOOKUP(M66,bin_lo,bin_lbl)</f>
        <v>$500-600K</v>
      </c>
      <c r="W66" s="62" t="str">
        <f t="shared" ref="W66:W129" si="15">TRIM(IF(M66&gt;f_price_hi,"High price ","")&amp;IF(AND(N66&lt;&gt;"",N66&gt;f_dom_hi),"Long DOM ","")&amp;IF(OR(Q66&gt;f_psf_hi,Q66&lt;f_psf_lo),"$/sqft ",""))</f>
        <v/>
      </c>
      <c r="X66" s="62" t="s">
        <v>450</v>
      </c>
    </row>
    <row r="67" spans="1:24" x14ac:dyDescent="0.35">
      <c r="A67" s="62">
        <v>10225</v>
      </c>
      <c r="B67" s="98">
        <v>45787</v>
      </c>
      <c r="C67" s="62" t="s">
        <v>76</v>
      </c>
      <c r="D67" s="62" t="s">
        <v>27</v>
      </c>
      <c r="E67" s="62">
        <v>4</v>
      </c>
      <c r="F67" s="62">
        <v>2.5</v>
      </c>
      <c r="G67" s="99">
        <v>2060</v>
      </c>
      <c r="H67" s="99">
        <v>7630</v>
      </c>
      <c r="I67" s="100">
        <v>2018</v>
      </c>
      <c r="J67" s="62">
        <v>2</v>
      </c>
      <c r="K67" s="62" t="s">
        <v>182</v>
      </c>
      <c r="L67" s="101">
        <v>430000</v>
      </c>
      <c r="M67" s="101">
        <v>405000</v>
      </c>
      <c r="N67" s="62">
        <v>40</v>
      </c>
      <c r="O67" s="102">
        <v>2.93</v>
      </c>
      <c r="P67" s="103">
        <f t="shared" si="8"/>
        <v>45778</v>
      </c>
      <c r="Q67" s="104">
        <f t="shared" si="9"/>
        <v>196.60194174757282</v>
      </c>
      <c r="R67" s="105">
        <f t="shared" si="10"/>
        <v>0.94186046511627908</v>
      </c>
      <c r="S67" s="101">
        <f t="shared" si="11"/>
        <v>-25000</v>
      </c>
      <c r="T67" s="104">
        <f t="shared" si="12"/>
        <v>11866.5</v>
      </c>
      <c r="U67" s="62">
        <f t="shared" si="13"/>
        <v>7</v>
      </c>
      <c r="V67" s="62" t="str">
        <f t="shared" si="14"/>
        <v>$400-500K</v>
      </c>
      <c r="W67" s="62" t="str">
        <f t="shared" si="15"/>
        <v/>
      </c>
      <c r="X67" s="62" t="s">
        <v>449</v>
      </c>
    </row>
    <row r="68" spans="1:24" x14ac:dyDescent="0.35">
      <c r="A68" s="62">
        <v>10177</v>
      </c>
      <c r="B68" s="98">
        <v>45794</v>
      </c>
      <c r="C68" s="62" t="s">
        <v>76</v>
      </c>
      <c r="D68" s="62" t="s">
        <v>27</v>
      </c>
      <c r="E68" s="62">
        <v>3</v>
      </c>
      <c r="F68" s="62">
        <v>2</v>
      </c>
      <c r="G68" s="99">
        <v>1440</v>
      </c>
      <c r="H68" s="99">
        <v>6370</v>
      </c>
      <c r="I68" s="100">
        <v>2016</v>
      </c>
      <c r="J68" s="62">
        <v>2</v>
      </c>
      <c r="K68" s="62" t="s">
        <v>180</v>
      </c>
      <c r="L68" s="101">
        <v>351000</v>
      </c>
      <c r="M68" s="101">
        <v>336000</v>
      </c>
      <c r="N68" s="62">
        <v>78</v>
      </c>
      <c r="O68" s="102">
        <v>3.02</v>
      </c>
      <c r="P68" s="103">
        <f t="shared" si="8"/>
        <v>45778</v>
      </c>
      <c r="Q68" s="104">
        <f t="shared" si="9"/>
        <v>233.33333333333334</v>
      </c>
      <c r="R68" s="105">
        <f t="shared" si="10"/>
        <v>0.95726495726495731</v>
      </c>
      <c r="S68" s="101">
        <f t="shared" si="11"/>
        <v>-15000</v>
      </c>
      <c r="T68" s="104">
        <f t="shared" si="12"/>
        <v>10147.200000000001</v>
      </c>
      <c r="U68" s="62">
        <f t="shared" si="13"/>
        <v>9</v>
      </c>
      <c r="V68" s="62" t="str">
        <f t="shared" si="14"/>
        <v>$300-400K</v>
      </c>
      <c r="W68" s="62" t="str">
        <f t="shared" si="15"/>
        <v/>
      </c>
      <c r="X68" s="62" t="s">
        <v>431</v>
      </c>
    </row>
    <row r="69" spans="1:24" x14ac:dyDescent="0.35">
      <c r="A69" s="62">
        <v>10166</v>
      </c>
      <c r="B69" s="98">
        <v>45800</v>
      </c>
      <c r="C69" s="62" t="s">
        <v>76</v>
      </c>
      <c r="D69" s="62" t="s">
        <v>27</v>
      </c>
      <c r="E69" s="62">
        <v>4</v>
      </c>
      <c r="F69" s="62">
        <v>2.5</v>
      </c>
      <c r="G69" s="99">
        <v>2360</v>
      </c>
      <c r="H69" s="99">
        <v>7460</v>
      </c>
      <c r="I69" s="100">
        <v>2000</v>
      </c>
      <c r="J69" s="62">
        <v>2</v>
      </c>
      <c r="K69" s="62" t="s">
        <v>179</v>
      </c>
      <c r="L69" s="101">
        <v>511000</v>
      </c>
      <c r="M69" s="101">
        <v>514000</v>
      </c>
      <c r="N69" s="62">
        <v>51</v>
      </c>
      <c r="O69" s="102">
        <v>3.24</v>
      </c>
      <c r="P69" s="103">
        <f t="shared" si="8"/>
        <v>45778</v>
      </c>
      <c r="Q69" s="104">
        <f t="shared" si="9"/>
        <v>217.79661016949152</v>
      </c>
      <c r="R69" s="105">
        <f t="shared" si="10"/>
        <v>1.0058708414872799</v>
      </c>
      <c r="S69" s="101">
        <f t="shared" si="11"/>
        <v>3000</v>
      </c>
      <c r="T69" s="104">
        <f t="shared" si="12"/>
        <v>16653.599999999999</v>
      </c>
      <c r="U69" s="62">
        <f t="shared" si="13"/>
        <v>25</v>
      </c>
      <c r="V69" s="62" t="str">
        <f t="shared" si="14"/>
        <v>$500-600K</v>
      </c>
      <c r="W69" s="62" t="str">
        <f t="shared" si="15"/>
        <v/>
      </c>
      <c r="X69" s="62" t="s">
        <v>451</v>
      </c>
    </row>
    <row r="70" spans="1:24" x14ac:dyDescent="0.35">
      <c r="A70" s="62">
        <v>10073</v>
      </c>
      <c r="B70" s="98">
        <v>45803</v>
      </c>
      <c r="C70" s="62" t="s">
        <v>72</v>
      </c>
      <c r="D70" s="62" t="s">
        <v>27</v>
      </c>
      <c r="E70" s="62">
        <v>2</v>
      </c>
      <c r="F70" s="62">
        <v>1</v>
      </c>
      <c r="G70" s="99">
        <v>1480</v>
      </c>
      <c r="H70" s="99">
        <v>3890</v>
      </c>
      <c r="I70" s="100">
        <v>2016</v>
      </c>
      <c r="J70" s="62">
        <v>2</v>
      </c>
      <c r="K70" s="62" t="s">
        <v>180</v>
      </c>
      <c r="L70" s="101">
        <v>244000</v>
      </c>
      <c r="M70" s="101">
        <v>238000</v>
      </c>
      <c r="N70" s="62">
        <v>83</v>
      </c>
      <c r="O70" s="102">
        <v>2.54</v>
      </c>
      <c r="P70" s="103">
        <f t="shared" si="8"/>
        <v>45778</v>
      </c>
      <c r="Q70" s="104">
        <f t="shared" si="9"/>
        <v>160.81081081081081</v>
      </c>
      <c r="R70" s="105">
        <f t="shared" si="10"/>
        <v>0.97540983606557374</v>
      </c>
      <c r="S70" s="101">
        <f t="shared" si="11"/>
        <v>-6000</v>
      </c>
      <c r="T70" s="104">
        <f t="shared" si="12"/>
        <v>6045.2</v>
      </c>
      <c r="U70" s="62">
        <f t="shared" si="13"/>
        <v>9</v>
      </c>
      <c r="V70" s="62" t="str">
        <f t="shared" si="14"/>
        <v>$200-300K</v>
      </c>
      <c r="W70" s="62" t="str">
        <f t="shared" si="15"/>
        <v/>
      </c>
      <c r="X70" s="62"/>
    </row>
    <row r="71" spans="1:24" x14ac:dyDescent="0.35">
      <c r="A71" s="62">
        <v>10224</v>
      </c>
      <c r="B71" s="98">
        <v>45807</v>
      </c>
      <c r="C71" s="62" t="s">
        <v>72</v>
      </c>
      <c r="D71" s="62" t="s">
        <v>27</v>
      </c>
      <c r="E71" s="62">
        <v>3</v>
      </c>
      <c r="F71" s="62">
        <v>3</v>
      </c>
      <c r="G71" s="99">
        <v>1950</v>
      </c>
      <c r="H71" s="99">
        <v>4460</v>
      </c>
      <c r="I71" s="100">
        <v>1983</v>
      </c>
      <c r="J71" s="62">
        <v>2</v>
      </c>
      <c r="K71" s="62" t="s">
        <v>179</v>
      </c>
      <c r="L71" s="101">
        <v>350000</v>
      </c>
      <c r="M71" s="101">
        <v>355000</v>
      </c>
      <c r="N71" s="62">
        <v>96</v>
      </c>
      <c r="O71" s="102">
        <v>2.69</v>
      </c>
      <c r="P71" s="103">
        <f t="shared" si="8"/>
        <v>45778</v>
      </c>
      <c r="Q71" s="104">
        <f t="shared" si="9"/>
        <v>182.05128205128204</v>
      </c>
      <c r="R71" s="105">
        <f t="shared" si="10"/>
        <v>1.0142857142857142</v>
      </c>
      <c r="S71" s="101">
        <f t="shared" si="11"/>
        <v>5000</v>
      </c>
      <c r="T71" s="104">
        <f t="shared" si="12"/>
        <v>9549.5</v>
      </c>
      <c r="U71" s="62">
        <f t="shared" si="13"/>
        <v>42</v>
      </c>
      <c r="V71" s="62" t="str">
        <f t="shared" si="14"/>
        <v>$300-400K</v>
      </c>
      <c r="W71" s="62" t="str">
        <f t="shared" si="15"/>
        <v/>
      </c>
      <c r="X71" s="62"/>
    </row>
    <row r="72" spans="1:24" x14ac:dyDescent="0.35">
      <c r="A72" s="62">
        <v>10172</v>
      </c>
      <c r="B72" s="98">
        <v>45808</v>
      </c>
      <c r="C72" s="62" t="s">
        <v>74</v>
      </c>
      <c r="D72" s="62" t="s">
        <v>27</v>
      </c>
      <c r="E72" s="62">
        <v>3</v>
      </c>
      <c r="F72" s="62">
        <v>3</v>
      </c>
      <c r="G72" s="99">
        <v>1600</v>
      </c>
      <c r="H72" s="99">
        <v>5040</v>
      </c>
      <c r="I72" s="100">
        <v>1990</v>
      </c>
      <c r="J72" s="62">
        <v>0</v>
      </c>
      <c r="K72" s="62" t="s">
        <v>179</v>
      </c>
      <c r="L72" s="101">
        <v>328000</v>
      </c>
      <c r="M72" s="101">
        <v>317000</v>
      </c>
      <c r="N72" s="62">
        <v>68</v>
      </c>
      <c r="O72" s="102">
        <v>2.99</v>
      </c>
      <c r="P72" s="103">
        <f t="shared" si="8"/>
        <v>45778</v>
      </c>
      <c r="Q72" s="104">
        <f t="shared" si="9"/>
        <v>198.125</v>
      </c>
      <c r="R72" s="105">
        <f t="shared" si="10"/>
        <v>0.96646341463414631</v>
      </c>
      <c r="S72" s="101">
        <f t="shared" si="11"/>
        <v>-11000</v>
      </c>
      <c r="T72" s="104">
        <f t="shared" si="12"/>
        <v>9478.3000000000011</v>
      </c>
      <c r="U72" s="62">
        <f t="shared" si="13"/>
        <v>35</v>
      </c>
      <c r="V72" s="62" t="str">
        <f t="shared" si="14"/>
        <v>$300-400K</v>
      </c>
      <c r="W72" s="62" t="str">
        <f t="shared" si="15"/>
        <v/>
      </c>
      <c r="X72" s="62"/>
    </row>
    <row r="73" spans="1:24" x14ac:dyDescent="0.35">
      <c r="A73" s="62">
        <v>10180</v>
      </c>
      <c r="B73" s="98">
        <v>45810</v>
      </c>
      <c r="C73" s="62" t="s">
        <v>73</v>
      </c>
      <c r="D73" s="62" t="s">
        <v>26</v>
      </c>
      <c r="E73" s="62">
        <v>2</v>
      </c>
      <c r="F73" s="62">
        <v>2</v>
      </c>
      <c r="G73" s="99">
        <v>1280</v>
      </c>
      <c r="H73" s="99">
        <v>0</v>
      </c>
      <c r="I73" s="100">
        <v>1974</v>
      </c>
      <c r="J73" s="62">
        <v>1</v>
      </c>
      <c r="K73" s="62" t="s">
        <v>180</v>
      </c>
      <c r="L73" s="101">
        <v>422000</v>
      </c>
      <c r="M73" s="101">
        <v>383000</v>
      </c>
      <c r="N73" s="62">
        <v>73</v>
      </c>
      <c r="O73" s="102">
        <v>2.98</v>
      </c>
      <c r="P73" s="103">
        <f t="shared" si="8"/>
        <v>45809</v>
      </c>
      <c r="Q73" s="104">
        <f t="shared" si="9"/>
        <v>299.21875</v>
      </c>
      <c r="R73" s="105">
        <f t="shared" si="10"/>
        <v>0.90758293838862558</v>
      </c>
      <c r="S73" s="101">
        <f t="shared" si="11"/>
        <v>-39000</v>
      </c>
      <c r="T73" s="104">
        <f t="shared" si="12"/>
        <v>11413.4</v>
      </c>
      <c r="U73" s="62">
        <f t="shared" si="13"/>
        <v>51</v>
      </c>
      <c r="V73" s="62" t="str">
        <f t="shared" si="14"/>
        <v>$300-400K</v>
      </c>
      <c r="W73" s="62" t="str">
        <f t="shared" si="15"/>
        <v/>
      </c>
      <c r="X73" s="62" t="s">
        <v>431</v>
      </c>
    </row>
    <row r="74" spans="1:24" x14ac:dyDescent="0.35">
      <c r="A74" s="62">
        <v>10151</v>
      </c>
      <c r="B74" s="98">
        <v>45814</v>
      </c>
      <c r="C74" s="62" t="s">
        <v>72</v>
      </c>
      <c r="D74" s="62" t="s">
        <v>27</v>
      </c>
      <c r="E74" s="62">
        <v>3</v>
      </c>
      <c r="F74" s="62">
        <v>2.5</v>
      </c>
      <c r="G74" s="99">
        <v>1790</v>
      </c>
      <c r="H74" s="99">
        <v>7470</v>
      </c>
      <c r="I74" s="100">
        <v>2020</v>
      </c>
      <c r="J74" s="62">
        <v>2</v>
      </c>
      <c r="K74" s="62" t="s">
        <v>180</v>
      </c>
      <c r="L74" s="101">
        <v>375000</v>
      </c>
      <c r="M74" s="101">
        <v>355000</v>
      </c>
      <c r="N74" s="62">
        <v>60</v>
      </c>
      <c r="O74" s="102">
        <v>3.2</v>
      </c>
      <c r="P74" s="103">
        <f t="shared" si="8"/>
        <v>45809</v>
      </c>
      <c r="Q74" s="104">
        <f t="shared" si="9"/>
        <v>198.32402234636871</v>
      </c>
      <c r="R74" s="105">
        <f t="shared" si="10"/>
        <v>0.94666666666666666</v>
      </c>
      <c r="S74" s="101">
        <f t="shared" si="11"/>
        <v>-20000</v>
      </c>
      <c r="T74" s="104">
        <f t="shared" si="12"/>
        <v>11360</v>
      </c>
      <c r="U74" s="62">
        <f t="shared" si="13"/>
        <v>5</v>
      </c>
      <c r="V74" s="62" t="str">
        <f t="shared" si="14"/>
        <v>$300-400K</v>
      </c>
      <c r="W74" s="62" t="str">
        <f t="shared" si="15"/>
        <v/>
      </c>
      <c r="X74" s="62" t="s">
        <v>450</v>
      </c>
    </row>
    <row r="75" spans="1:24" x14ac:dyDescent="0.35">
      <c r="A75" s="62">
        <v>10051</v>
      </c>
      <c r="B75" s="98">
        <v>45817</v>
      </c>
      <c r="C75" s="62" t="s">
        <v>75</v>
      </c>
      <c r="D75" s="62" t="s">
        <v>28</v>
      </c>
      <c r="E75" s="62">
        <v>3</v>
      </c>
      <c r="F75" s="62">
        <v>2</v>
      </c>
      <c r="G75" s="99">
        <v>1750</v>
      </c>
      <c r="H75" s="99">
        <v>1720</v>
      </c>
      <c r="I75" s="100">
        <v>2006</v>
      </c>
      <c r="J75" s="62">
        <v>2</v>
      </c>
      <c r="K75" s="62" t="s">
        <v>178</v>
      </c>
      <c r="L75" s="101">
        <v>479000</v>
      </c>
      <c r="M75" s="101">
        <v>492000</v>
      </c>
      <c r="N75" s="62">
        <v>36</v>
      </c>
      <c r="O75" s="102">
        <v>2.54</v>
      </c>
      <c r="P75" s="103">
        <f t="shared" si="8"/>
        <v>45809</v>
      </c>
      <c r="Q75" s="104">
        <f t="shared" si="9"/>
        <v>281.14285714285717</v>
      </c>
      <c r="R75" s="105">
        <f t="shared" si="10"/>
        <v>1.0271398747390397</v>
      </c>
      <c r="S75" s="101">
        <f t="shared" si="11"/>
        <v>13000</v>
      </c>
      <c r="T75" s="104">
        <f t="shared" si="12"/>
        <v>12496.8</v>
      </c>
      <c r="U75" s="62">
        <f t="shared" si="13"/>
        <v>19</v>
      </c>
      <c r="V75" s="62" t="str">
        <f t="shared" si="14"/>
        <v>$400-500K</v>
      </c>
      <c r="W75" s="62" t="str">
        <f t="shared" si="15"/>
        <v/>
      </c>
      <c r="X75" s="62"/>
    </row>
    <row r="76" spans="1:24" x14ac:dyDescent="0.35">
      <c r="A76" s="62">
        <v>10002</v>
      </c>
      <c r="B76" s="98">
        <v>45818</v>
      </c>
      <c r="C76" s="62" t="s">
        <v>76</v>
      </c>
      <c r="D76" s="62" t="s">
        <v>26</v>
      </c>
      <c r="E76" s="62">
        <v>1</v>
      </c>
      <c r="F76" s="62">
        <v>1</v>
      </c>
      <c r="G76" s="99">
        <v>760</v>
      </c>
      <c r="H76" s="99">
        <v>0</v>
      </c>
      <c r="I76" s="100">
        <v>2021</v>
      </c>
      <c r="J76" s="62">
        <v>1</v>
      </c>
      <c r="K76" s="62" t="s">
        <v>179</v>
      </c>
      <c r="L76" s="101">
        <v>200000</v>
      </c>
      <c r="M76" s="101">
        <v>198000</v>
      </c>
      <c r="N76" s="62">
        <v>67</v>
      </c>
      <c r="O76" s="102">
        <v>3.18</v>
      </c>
      <c r="P76" s="103">
        <f t="shared" si="8"/>
        <v>45809</v>
      </c>
      <c r="Q76" s="104">
        <f t="shared" si="9"/>
        <v>260.5263157894737</v>
      </c>
      <c r="R76" s="105">
        <f t="shared" si="10"/>
        <v>0.99</v>
      </c>
      <c r="S76" s="101">
        <f t="shared" si="11"/>
        <v>-2000</v>
      </c>
      <c r="T76" s="104">
        <f t="shared" si="12"/>
        <v>6296.4</v>
      </c>
      <c r="U76" s="62">
        <f t="shared" si="13"/>
        <v>4</v>
      </c>
      <c r="V76" s="62" t="str">
        <f t="shared" si="14"/>
        <v>Under $200K</v>
      </c>
      <c r="W76" s="62" t="str">
        <f t="shared" si="15"/>
        <v/>
      </c>
      <c r="X76" s="62"/>
    </row>
    <row r="77" spans="1:24" x14ac:dyDescent="0.35">
      <c r="A77" s="62">
        <v>10072</v>
      </c>
      <c r="B77" s="98">
        <v>45820</v>
      </c>
      <c r="C77" s="62" t="s">
        <v>76</v>
      </c>
      <c r="D77" s="62" t="s">
        <v>27</v>
      </c>
      <c r="E77" s="62">
        <v>3</v>
      </c>
      <c r="F77" s="62">
        <v>2.5</v>
      </c>
      <c r="G77" s="99">
        <v>1790</v>
      </c>
      <c r="H77" s="99">
        <v>7960</v>
      </c>
      <c r="I77" s="100">
        <v>2006</v>
      </c>
      <c r="J77" s="62">
        <v>2</v>
      </c>
      <c r="K77" s="62" t="s">
        <v>178</v>
      </c>
      <c r="L77" s="101">
        <v>443000</v>
      </c>
      <c r="M77" s="101">
        <v>440000</v>
      </c>
      <c r="N77" s="62">
        <v>36</v>
      </c>
      <c r="O77" s="102">
        <v>2.96</v>
      </c>
      <c r="P77" s="103">
        <f t="shared" si="8"/>
        <v>45809</v>
      </c>
      <c r="Q77" s="104">
        <f t="shared" si="9"/>
        <v>245.81005586592178</v>
      </c>
      <c r="R77" s="105">
        <f t="shared" si="10"/>
        <v>0.99322799097065462</v>
      </c>
      <c r="S77" s="101">
        <f t="shared" si="11"/>
        <v>-3000</v>
      </c>
      <c r="T77" s="104">
        <f t="shared" si="12"/>
        <v>13024</v>
      </c>
      <c r="U77" s="62">
        <f t="shared" si="13"/>
        <v>19</v>
      </c>
      <c r="V77" s="62" t="str">
        <f t="shared" si="14"/>
        <v>$400-500K</v>
      </c>
      <c r="W77" s="62" t="str">
        <f t="shared" si="15"/>
        <v/>
      </c>
      <c r="X77" s="62" t="s">
        <v>431</v>
      </c>
    </row>
    <row r="78" spans="1:24" x14ac:dyDescent="0.35">
      <c r="A78" s="62">
        <v>10069</v>
      </c>
      <c r="B78" s="98">
        <v>45827</v>
      </c>
      <c r="C78" s="62" t="s">
        <v>75</v>
      </c>
      <c r="D78" s="62" t="s">
        <v>27</v>
      </c>
      <c r="E78" s="62">
        <v>4</v>
      </c>
      <c r="F78" s="62">
        <v>2.5</v>
      </c>
      <c r="G78" s="99">
        <v>1810</v>
      </c>
      <c r="H78" s="99">
        <v>7540</v>
      </c>
      <c r="I78" s="100">
        <v>2014</v>
      </c>
      <c r="J78" s="62">
        <v>2</v>
      </c>
      <c r="K78" s="62" t="s">
        <v>179</v>
      </c>
      <c r="L78" s="101">
        <v>475000</v>
      </c>
      <c r="M78" s="101">
        <v>466000</v>
      </c>
      <c r="N78" s="62">
        <v>44</v>
      </c>
      <c r="O78" s="102">
        <v>2.8</v>
      </c>
      <c r="P78" s="103">
        <f t="shared" si="8"/>
        <v>45809</v>
      </c>
      <c r="Q78" s="104">
        <f t="shared" si="9"/>
        <v>257.45856353591159</v>
      </c>
      <c r="R78" s="105">
        <f t="shared" si="10"/>
        <v>0.9810526315789474</v>
      </c>
      <c r="S78" s="101">
        <f t="shared" si="11"/>
        <v>-9000</v>
      </c>
      <c r="T78" s="104">
        <f t="shared" si="12"/>
        <v>13048</v>
      </c>
      <c r="U78" s="62">
        <f t="shared" si="13"/>
        <v>11</v>
      </c>
      <c r="V78" s="62" t="str">
        <f t="shared" si="14"/>
        <v>$400-500K</v>
      </c>
      <c r="W78" s="62" t="str">
        <f t="shared" si="15"/>
        <v/>
      </c>
      <c r="X78" s="62"/>
    </row>
    <row r="79" spans="1:24" x14ac:dyDescent="0.35">
      <c r="A79" s="62">
        <v>10230</v>
      </c>
      <c r="B79" s="98">
        <v>45827</v>
      </c>
      <c r="C79" s="62" t="s">
        <v>75</v>
      </c>
      <c r="D79" s="62" t="s">
        <v>27</v>
      </c>
      <c r="E79" s="62">
        <v>3</v>
      </c>
      <c r="F79" s="62">
        <v>2</v>
      </c>
      <c r="G79" s="99">
        <v>1890</v>
      </c>
      <c r="H79" s="99">
        <v>7410</v>
      </c>
      <c r="I79" s="100">
        <v>1972</v>
      </c>
      <c r="J79" s="62">
        <v>1</v>
      </c>
      <c r="K79" s="62" t="s">
        <v>180</v>
      </c>
      <c r="L79" s="101">
        <v>531000</v>
      </c>
      <c r="M79" s="101">
        <v>510000</v>
      </c>
      <c r="N79" s="62">
        <v>91</v>
      </c>
      <c r="O79" s="102">
        <v>3.28</v>
      </c>
      <c r="P79" s="103">
        <f t="shared" si="8"/>
        <v>45809</v>
      </c>
      <c r="Q79" s="104">
        <f t="shared" si="9"/>
        <v>269.84126984126982</v>
      </c>
      <c r="R79" s="105">
        <f t="shared" si="10"/>
        <v>0.96045197740112997</v>
      </c>
      <c r="S79" s="101">
        <f t="shared" si="11"/>
        <v>-21000</v>
      </c>
      <c r="T79" s="104">
        <f t="shared" si="12"/>
        <v>16728</v>
      </c>
      <c r="U79" s="62">
        <f t="shared" si="13"/>
        <v>53</v>
      </c>
      <c r="V79" s="62" t="str">
        <f t="shared" si="14"/>
        <v>$500-600K</v>
      </c>
      <c r="W79" s="62" t="str">
        <f t="shared" si="15"/>
        <v/>
      </c>
      <c r="X79" s="62"/>
    </row>
    <row r="80" spans="1:24" x14ac:dyDescent="0.35">
      <c r="A80" s="62">
        <v>10223</v>
      </c>
      <c r="B80" s="98">
        <v>45829</v>
      </c>
      <c r="C80" s="62" t="s">
        <v>74</v>
      </c>
      <c r="D80" s="62" t="s">
        <v>27</v>
      </c>
      <c r="E80" s="62">
        <v>3</v>
      </c>
      <c r="F80" s="62">
        <v>2</v>
      </c>
      <c r="G80" s="99">
        <v>1650</v>
      </c>
      <c r="H80" s="99">
        <v>3880</v>
      </c>
      <c r="I80" s="100">
        <v>1957</v>
      </c>
      <c r="J80" s="62">
        <v>2</v>
      </c>
      <c r="K80" s="62" t="s">
        <v>180</v>
      </c>
      <c r="L80" s="101">
        <v>284000</v>
      </c>
      <c r="M80" s="101">
        <v>278000</v>
      </c>
      <c r="N80" s="62">
        <v>100</v>
      </c>
      <c r="O80" s="102">
        <v>3.02</v>
      </c>
      <c r="P80" s="103">
        <f t="shared" si="8"/>
        <v>45809</v>
      </c>
      <c r="Q80" s="104">
        <f t="shared" si="9"/>
        <v>168.4848484848485</v>
      </c>
      <c r="R80" s="105">
        <f t="shared" si="10"/>
        <v>0.97887323943661975</v>
      </c>
      <c r="S80" s="101">
        <f t="shared" si="11"/>
        <v>-6000</v>
      </c>
      <c r="T80" s="104">
        <f t="shared" si="12"/>
        <v>8395.6</v>
      </c>
      <c r="U80" s="62">
        <f t="shared" si="13"/>
        <v>68</v>
      </c>
      <c r="V80" s="62" t="str">
        <f t="shared" si="14"/>
        <v>$200-300K</v>
      </c>
      <c r="W80" s="62" t="str">
        <f t="shared" si="15"/>
        <v/>
      </c>
      <c r="X80" s="62"/>
    </row>
    <row r="81" spans="1:24" x14ac:dyDescent="0.35">
      <c r="A81" s="62">
        <v>10109</v>
      </c>
      <c r="B81" s="98">
        <v>45834</v>
      </c>
      <c r="C81" s="62" t="s">
        <v>75</v>
      </c>
      <c r="D81" s="62" t="s">
        <v>27</v>
      </c>
      <c r="E81" s="62">
        <v>4</v>
      </c>
      <c r="F81" s="62">
        <v>3.5</v>
      </c>
      <c r="G81" s="99">
        <v>2290</v>
      </c>
      <c r="H81" s="99">
        <v>8270</v>
      </c>
      <c r="I81" s="100">
        <v>2011</v>
      </c>
      <c r="J81" s="62">
        <v>2</v>
      </c>
      <c r="K81" s="62" t="s">
        <v>178</v>
      </c>
      <c r="L81" s="101">
        <v>616000</v>
      </c>
      <c r="M81" s="101">
        <v>615000</v>
      </c>
      <c r="N81" s="62">
        <v>41</v>
      </c>
      <c r="O81" s="102">
        <v>2.48</v>
      </c>
      <c r="P81" s="103">
        <f t="shared" si="8"/>
        <v>45809</v>
      </c>
      <c r="Q81" s="104">
        <f t="shared" si="9"/>
        <v>268.55895196506549</v>
      </c>
      <c r="R81" s="105">
        <f t="shared" si="10"/>
        <v>0.99837662337662336</v>
      </c>
      <c r="S81" s="101">
        <f t="shared" si="11"/>
        <v>-1000</v>
      </c>
      <c r="T81" s="104">
        <f t="shared" si="12"/>
        <v>15252</v>
      </c>
      <c r="U81" s="62">
        <f t="shared" si="13"/>
        <v>14</v>
      </c>
      <c r="V81" s="62" t="str">
        <f t="shared" si="14"/>
        <v>$600-800K</v>
      </c>
      <c r="W81" s="62" t="str">
        <f t="shared" si="15"/>
        <v/>
      </c>
      <c r="X81" s="62"/>
    </row>
    <row r="82" spans="1:24" x14ac:dyDescent="0.35">
      <c r="A82" s="62">
        <v>10035</v>
      </c>
      <c r="B82" s="98">
        <v>45835</v>
      </c>
      <c r="C82" s="62" t="s">
        <v>76</v>
      </c>
      <c r="D82" s="62" t="s">
        <v>27</v>
      </c>
      <c r="E82" s="62">
        <v>5</v>
      </c>
      <c r="F82" s="62">
        <v>4</v>
      </c>
      <c r="G82" s="99">
        <v>2540</v>
      </c>
      <c r="H82" s="99">
        <v>10050</v>
      </c>
      <c r="I82" s="100">
        <v>1993</v>
      </c>
      <c r="J82" s="62">
        <v>2</v>
      </c>
      <c r="K82" s="62" t="s">
        <v>180</v>
      </c>
      <c r="L82" s="101">
        <v>515000</v>
      </c>
      <c r="M82" s="101">
        <v>510000</v>
      </c>
      <c r="N82" s="62">
        <v>62</v>
      </c>
      <c r="O82" s="102">
        <v>3.22</v>
      </c>
      <c r="P82" s="103">
        <f t="shared" si="8"/>
        <v>45809</v>
      </c>
      <c r="Q82" s="104">
        <f t="shared" si="9"/>
        <v>200.78740157480314</v>
      </c>
      <c r="R82" s="105">
        <f t="shared" si="10"/>
        <v>0.99029126213592233</v>
      </c>
      <c r="S82" s="101">
        <f t="shared" si="11"/>
        <v>-5000</v>
      </c>
      <c r="T82" s="104">
        <f t="shared" si="12"/>
        <v>16422</v>
      </c>
      <c r="U82" s="62">
        <f t="shared" si="13"/>
        <v>32</v>
      </c>
      <c r="V82" s="62" t="str">
        <f t="shared" si="14"/>
        <v>$500-600K</v>
      </c>
      <c r="W82" s="62" t="str">
        <f t="shared" si="15"/>
        <v/>
      </c>
      <c r="X82" s="62" t="s">
        <v>452</v>
      </c>
    </row>
    <row r="83" spans="1:24" x14ac:dyDescent="0.35">
      <c r="A83" s="62">
        <v>10011</v>
      </c>
      <c r="B83" s="98">
        <v>45837</v>
      </c>
      <c r="C83" s="62" t="s">
        <v>76</v>
      </c>
      <c r="D83" s="62" t="s">
        <v>27</v>
      </c>
      <c r="E83" s="62">
        <v>2</v>
      </c>
      <c r="F83" s="62">
        <v>2.5</v>
      </c>
      <c r="G83" s="99">
        <v>1330</v>
      </c>
      <c r="H83" s="99">
        <v>4520</v>
      </c>
      <c r="I83" s="100"/>
      <c r="J83" s="62">
        <v>2</v>
      </c>
      <c r="K83" s="62" t="s">
        <v>179</v>
      </c>
      <c r="L83" s="101">
        <v>312000</v>
      </c>
      <c r="M83" s="101">
        <v>285000</v>
      </c>
      <c r="N83" s="62">
        <v>42</v>
      </c>
      <c r="O83" s="102">
        <v>2.89</v>
      </c>
      <c r="P83" s="103">
        <f t="shared" si="8"/>
        <v>45809</v>
      </c>
      <c r="Q83" s="104">
        <f t="shared" si="9"/>
        <v>214.28571428571428</v>
      </c>
      <c r="R83" s="105">
        <f t="shared" si="10"/>
        <v>0.91346153846153844</v>
      </c>
      <c r="S83" s="101">
        <f t="shared" si="11"/>
        <v>-27000</v>
      </c>
      <c r="T83" s="104">
        <f t="shared" si="12"/>
        <v>8236.5</v>
      </c>
      <c r="U83" s="62" t="str">
        <f t="shared" si="13"/>
        <v/>
      </c>
      <c r="V83" s="62" t="str">
        <f t="shared" si="14"/>
        <v>$200-300K</v>
      </c>
      <c r="W83" s="62" t="str">
        <f t="shared" si="15"/>
        <v/>
      </c>
      <c r="X83" s="62" t="s">
        <v>434</v>
      </c>
    </row>
    <row r="84" spans="1:24" x14ac:dyDescent="0.35">
      <c r="A84" s="62">
        <v>10176</v>
      </c>
      <c r="B84" s="98">
        <v>45841</v>
      </c>
      <c r="C84" s="62" t="s">
        <v>75</v>
      </c>
      <c r="D84" s="62" t="s">
        <v>28</v>
      </c>
      <c r="E84" s="62">
        <v>3</v>
      </c>
      <c r="F84" s="62">
        <v>2.5</v>
      </c>
      <c r="G84" s="99">
        <v>1920</v>
      </c>
      <c r="H84" s="99">
        <v>2530</v>
      </c>
      <c r="I84" s="100">
        <v>2013</v>
      </c>
      <c r="J84" s="62">
        <v>3</v>
      </c>
      <c r="K84" s="62" t="s">
        <v>179</v>
      </c>
      <c r="L84" s="101">
        <v>530000</v>
      </c>
      <c r="M84" s="101">
        <v>509000</v>
      </c>
      <c r="N84" s="62">
        <v>24</v>
      </c>
      <c r="O84" s="102">
        <v>2.4300000000000002</v>
      </c>
      <c r="P84" s="103">
        <f t="shared" si="8"/>
        <v>45839</v>
      </c>
      <c r="Q84" s="104">
        <f t="shared" si="9"/>
        <v>265.10416666666669</v>
      </c>
      <c r="R84" s="105">
        <f t="shared" si="10"/>
        <v>0.96037735849056605</v>
      </c>
      <c r="S84" s="101">
        <f t="shared" si="11"/>
        <v>-21000</v>
      </c>
      <c r="T84" s="104">
        <f t="shared" si="12"/>
        <v>12368.7</v>
      </c>
      <c r="U84" s="62">
        <f t="shared" si="13"/>
        <v>12</v>
      </c>
      <c r="V84" s="62" t="str">
        <f t="shared" si="14"/>
        <v>$500-600K</v>
      </c>
      <c r="W84" s="62" t="str">
        <f t="shared" si="15"/>
        <v/>
      </c>
      <c r="X84" s="62" t="s">
        <v>433</v>
      </c>
    </row>
    <row r="85" spans="1:24" x14ac:dyDescent="0.35">
      <c r="A85" s="62">
        <v>10234</v>
      </c>
      <c r="B85" s="98">
        <v>45841</v>
      </c>
      <c r="C85" s="62" t="s">
        <v>74</v>
      </c>
      <c r="D85" s="62" t="s">
        <v>27</v>
      </c>
      <c r="E85" s="62">
        <v>3</v>
      </c>
      <c r="F85" s="62">
        <v>1.5</v>
      </c>
      <c r="G85" s="99">
        <v>1650</v>
      </c>
      <c r="H85" s="99">
        <v>5030</v>
      </c>
      <c r="I85" s="100">
        <v>2007</v>
      </c>
      <c r="J85" s="62">
        <v>2</v>
      </c>
      <c r="K85" s="62" t="s">
        <v>178</v>
      </c>
      <c r="L85" s="101">
        <v>412000</v>
      </c>
      <c r="M85" s="101">
        <v>396000</v>
      </c>
      <c r="N85" s="62">
        <v>60</v>
      </c>
      <c r="O85" s="102">
        <v>2.9</v>
      </c>
      <c r="P85" s="103">
        <f t="shared" si="8"/>
        <v>45839</v>
      </c>
      <c r="Q85" s="104">
        <f t="shared" si="9"/>
        <v>240</v>
      </c>
      <c r="R85" s="105">
        <f t="shared" si="10"/>
        <v>0.96116504854368934</v>
      </c>
      <c r="S85" s="101">
        <f t="shared" si="11"/>
        <v>-16000</v>
      </c>
      <c r="T85" s="104">
        <f t="shared" si="12"/>
        <v>11484</v>
      </c>
      <c r="U85" s="62">
        <f t="shared" si="13"/>
        <v>18</v>
      </c>
      <c r="V85" s="62" t="str">
        <f t="shared" si="14"/>
        <v>$300-400K</v>
      </c>
      <c r="W85" s="62" t="str">
        <f t="shared" si="15"/>
        <v/>
      </c>
      <c r="X85" s="62" t="s">
        <v>433</v>
      </c>
    </row>
    <row r="86" spans="1:24" x14ac:dyDescent="0.35">
      <c r="A86" s="62">
        <v>10175</v>
      </c>
      <c r="B86" s="98">
        <v>45844</v>
      </c>
      <c r="C86" s="62" t="s">
        <v>75</v>
      </c>
      <c r="D86" s="62" t="s">
        <v>27</v>
      </c>
      <c r="E86" s="62">
        <v>3</v>
      </c>
      <c r="F86" s="62">
        <v>1.5</v>
      </c>
      <c r="G86" s="99">
        <v>1790</v>
      </c>
      <c r="H86" s="99">
        <v>7930</v>
      </c>
      <c r="I86" s="100">
        <v>1979</v>
      </c>
      <c r="J86" s="62">
        <v>2</v>
      </c>
      <c r="K86" s="62" t="s">
        <v>181</v>
      </c>
      <c r="L86" s="101">
        <v>397000</v>
      </c>
      <c r="M86" s="101">
        <v>386000</v>
      </c>
      <c r="N86" s="62">
        <v>59</v>
      </c>
      <c r="O86" s="102">
        <v>3.23</v>
      </c>
      <c r="P86" s="103">
        <f t="shared" si="8"/>
        <v>45839</v>
      </c>
      <c r="Q86" s="104">
        <f t="shared" si="9"/>
        <v>215.64245810055866</v>
      </c>
      <c r="R86" s="105">
        <f t="shared" si="10"/>
        <v>0.97229219143576828</v>
      </c>
      <c r="S86" s="101">
        <f t="shared" si="11"/>
        <v>-11000</v>
      </c>
      <c r="T86" s="104">
        <f t="shared" si="12"/>
        <v>12467.8</v>
      </c>
      <c r="U86" s="62">
        <f t="shared" si="13"/>
        <v>46</v>
      </c>
      <c r="V86" s="62" t="str">
        <f t="shared" si="14"/>
        <v>$300-400K</v>
      </c>
      <c r="W86" s="62" t="str">
        <f t="shared" si="15"/>
        <v/>
      </c>
      <c r="X86" s="62" t="s">
        <v>453</v>
      </c>
    </row>
    <row r="87" spans="1:24" x14ac:dyDescent="0.35">
      <c r="A87" s="62">
        <v>10162</v>
      </c>
      <c r="B87" s="98">
        <v>45845</v>
      </c>
      <c r="C87" s="62" t="s">
        <v>72</v>
      </c>
      <c r="D87" s="62" t="s">
        <v>28</v>
      </c>
      <c r="E87" s="62">
        <v>3</v>
      </c>
      <c r="F87" s="62">
        <v>2</v>
      </c>
      <c r="G87" s="99">
        <v>1750</v>
      </c>
      <c r="H87" s="99">
        <v>1580</v>
      </c>
      <c r="I87" s="100">
        <v>2018</v>
      </c>
      <c r="J87" s="62">
        <v>1</v>
      </c>
      <c r="K87" s="62" t="s">
        <v>180</v>
      </c>
      <c r="L87" s="101">
        <v>252000</v>
      </c>
      <c r="M87" s="101">
        <v>232000</v>
      </c>
      <c r="N87" s="62">
        <v>58</v>
      </c>
      <c r="O87" s="102">
        <v>3.05</v>
      </c>
      <c r="P87" s="103">
        <f t="shared" si="8"/>
        <v>45839</v>
      </c>
      <c r="Q87" s="104">
        <f t="shared" si="9"/>
        <v>132.57142857142858</v>
      </c>
      <c r="R87" s="105">
        <f t="shared" si="10"/>
        <v>0.92063492063492058</v>
      </c>
      <c r="S87" s="101">
        <f t="shared" si="11"/>
        <v>-20000</v>
      </c>
      <c r="T87" s="104">
        <f t="shared" si="12"/>
        <v>7076</v>
      </c>
      <c r="U87" s="62">
        <f t="shared" si="13"/>
        <v>7</v>
      </c>
      <c r="V87" s="62" t="str">
        <f t="shared" si="14"/>
        <v>$200-300K</v>
      </c>
      <c r="W87" s="62" t="str">
        <f t="shared" si="15"/>
        <v/>
      </c>
      <c r="X87" s="62"/>
    </row>
    <row r="88" spans="1:24" x14ac:dyDescent="0.35">
      <c r="A88" s="62">
        <v>10047</v>
      </c>
      <c r="B88" s="98">
        <v>45848</v>
      </c>
      <c r="C88" s="62" t="s">
        <v>76</v>
      </c>
      <c r="D88" s="62" t="s">
        <v>26</v>
      </c>
      <c r="E88" s="62">
        <v>1</v>
      </c>
      <c r="F88" s="62">
        <v>2</v>
      </c>
      <c r="G88" s="99">
        <v>520</v>
      </c>
      <c r="H88" s="99">
        <v>0</v>
      </c>
      <c r="I88" s="100">
        <v>1992</v>
      </c>
      <c r="J88" s="62">
        <v>0</v>
      </c>
      <c r="K88" s="62" t="s">
        <v>179</v>
      </c>
      <c r="L88" s="101">
        <v>123000</v>
      </c>
      <c r="M88" s="101">
        <v>119000</v>
      </c>
      <c r="N88" s="62">
        <v>51</v>
      </c>
      <c r="O88" s="102"/>
      <c r="P88" s="103">
        <f t="shared" si="8"/>
        <v>45839</v>
      </c>
      <c r="Q88" s="104">
        <f t="shared" si="9"/>
        <v>228.84615384615384</v>
      </c>
      <c r="R88" s="105">
        <f t="shared" si="10"/>
        <v>0.96747967479674801</v>
      </c>
      <c r="S88" s="101">
        <f t="shared" si="11"/>
        <v>-4000</v>
      </c>
      <c r="T88" s="104" t="str">
        <f t="shared" si="12"/>
        <v/>
      </c>
      <c r="U88" s="62">
        <f t="shared" si="13"/>
        <v>33</v>
      </c>
      <c r="V88" s="62" t="str">
        <f t="shared" si="14"/>
        <v>Under $200K</v>
      </c>
      <c r="W88" s="62" t="str">
        <f t="shared" si="15"/>
        <v/>
      </c>
      <c r="X88" s="62" t="s">
        <v>454</v>
      </c>
    </row>
    <row r="89" spans="1:24" x14ac:dyDescent="0.35">
      <c r="A89" s="62">
        <v>10111</v>
      </c>
      <c r="B89" s="98">
        <v>45849</v>
      </c>
      <c r="C89" s="62" t="s">
        <v>76</v>
      </c>
      <c r="D89" s="62" t="s">
        <v>26</v>
      </c>
      <c r="E89" s="62">
        <v>2</v>
      </c>
      <c r="F89" s="62">
        <v>2</v>
      </c>
      <c r="G89" s="99">
        <v>1310</v>
      </c>
      <c r="H89" s="99">
        <v>0</v>
      </c>
      <c r="I89" s="100"/>
      <c r="J89" s="62">
        <v>0</v>
      </c>
      <c r="K89" s="62" t="s">
        <v>179</v>
      </c>
      <c r="L89" s="101">
        <v>273000</v>
      </c>
      <c r="M89" s="101">
        <v>263000</v>
      </c>
      <c r="N89" s="62">
        <v>36</v>
      </c>
      <c r="O89" s="102">
        <v>2.92</v>
      </c>
      <c r="P89" s="103">
        <f t="shared" si="8"/>
        <v>45839</v>
      </c>
      <c r="Q89" s="104">
        <f t="shared" si="9"/>
        <v>200.76335877862596</v>
      </c>
      <c r="R89" s="105">
        <f t="shared" si="10"/>
        <v>0.96336996336996339</v>
      </c>
      <c r="S89" s="101">
        <f t="shared" si="11"/>
        <v>-10000</v>
      </c>
      <c r="T89" s="104">
        <f t="shared" si="12"/>
        <v>7679.6</v>
      </c>
      <c r="U89" s="62" t="str">
        <f t="shared" si="13"/>
        <v/>
      </c>
      <c r="V89" s="62" t="str">
        <f t="shared" si="14"/>
        <v>$200-300K</v>
      </c>
      <c r="W89" s="62" t="str">
        <f t="shared" si="15"/>
        <v/>
      </c>
      <c r="X89" s="62" t="s">
        <v>455</v>
      </c>
    </row>
    <row r="90" spans="1:24" x14ac:dyDescent="0.35">
      <c r="A90" s="62">
        <v>10168</v>
      </c>
      <c r="B90" s="98">
        <v>45852</v>
      </c>
      <c r="C90" s="62" t="s">
        <v>73</v>
      </c>
      <c r="D90" s="62" t="s">
        <v>28</v>
      </c>
      <c r="E90" s="62">
        <v>3</v>
      </c>
      <c r="F90" s="62">
        <v>3.5</v>
      </c>
      <c r="G90" s="99">
        <v>2010</v>
      </c>
      <c r="H90" s="99">
        <v>2420</v>
      </c>
      <c r="I90" s="100">
        <v>1984</v>
      </c>
      <c r="J90" s="62">
        <v>1</v>
      </c>
      <c r="K90" s="62" t="s">
        <v>182</v>
      </c>
      <c r="L90" s="101">
        <v>528000</v>
      </c>
      <c r="M90" s="101">
        <v>501000</v>
      </c>
      <c r="N90" s="62">
        <v>67</v>
      </c>
      <c r="O90" s="102">
        <v>2.48</v>
      </c>
      <c r="P90" s="103">
        <f t="shared" si="8"/>
        <v>45839</v>
      </c>
      <c r="Q90" s="104">
        <f t="shared" si="9"/>
        <v>249.25373134328359</v>
      </c>
      <c r="R90" s="105">
        <f t="shared" si="10"/>
        <v>0.94886363636363635</v>
      </c>
      <c r="S90" s="101">
        <f t="shared" si="11"/>
        <v>-27000</v>
      </c>
      <c r="T90" s="104">
        <f t="shared" si="12"/>
        <v>12424.8</v>
      </c>
      <c r="U90" s="62">
        <f t="shared" si="13"/>
        <v>41</v>
      </c>
      <c r="V90" s="62" t="str">
        <f t="shared" si="14"/>
        <v>$500-600K</v>
      </c>
      <c r="W90" s="62" t="str">
        <f t="shared" si="15"/>
        <v/>
      </c>
      <c r="X90" s="62" t="s">
        <v>433</v>
      </c>
    </row>
    <row r="91" spans="1:24" x14ac:dyDescent="0.35">
      <c r="A91" s="62">
        <v>10208</v>
      </c>
      <c r="B91" s="98">
        <v>45854</v>
      </c>
      <c r="C91" s="62" t="s">
        <v>74</v>
      </c>
      <c r="D91" s="62" t="s">
        <v>27</v>
      </c>
      <c r="E91" s="62">
        <v>3</v>
      </c>
      <c r="F91" s="62">
        <v>3</v>
      </c>
      <c r="G91" s="99">
        <v>1740</v>
      </c>
      <c r="H91" s="99">
        <v>7320</v>
      </c>
      <c r="I91" s="100">
        <v>1970</v>
      </c>
      <c r="J91" s="62">
        <v>0</v>
      </c>
      <c r="K91" s="62" t="s">
        <v>178</v>
      </c>
      <c r="L91" s="101">
        <v>381000</v>
      </c>
      <c r="M91" s="101">
        <v>346000</v>
      </c>
      <c r="N91" s="62">
        <v>67</v>
      </c>
      <c r="O91" s="102">
        <v>3.22</v>
      </c>
      <c r="P91" s="103">
        <f t="shared" si="8"/>
        <v>45839</v>
      </c>
      <c r="Q91" s="104">
        <f t="shared" si="9"/>
        <v>198.85057471264369</v>
      </c>
      <c r="R91" s="105">
        <f t="shared" si="10"/>
        <v>0.90813648293963256</v>
      </c>
      <c r="S91" s="101">
        <f t="shared" si="11"/>
        <v>-35000</v>
      </c>
      <c r="T91" s="104">
        <f t="shared" si="12"/>
        <v>11141.2</v>
      </c>
      <c r="U91" s="62">
        <f t="shared" si="13"/>
        <v>55</v>
      </c>
      <c r="V91" s="62" t="str">
        <f t="shared" si="14"/>
        <v>$300-400K</v>
      </c>
      <c r="W91" s="62" t="str">
        <f t="shared" si="15"/>
        <v/>
      </c>
      <c r="X91" s="62" t="s">
        <v>453</v>
      </c>
    </row>
    <row r="92" spans="1:24" x14ac:dyDescent="0.35">
      <c r="A92" s="62">
        <v>10006</v>
      </c>
      <c r="B92" s="98">
        <v>45856</v>
      </c>
      <c r="C92" s="62" t="s">
        <v>72</v>
      </c>
      <c r="D92" s="62" t="s">
        <v>28</v>
      </c>
      <c r="E92" s="62">
        <v>3</v>
      </c>
      <c r="F92" s="62">
        <v>2.5</v>
      </c>
      <c r="G92" s="99">
        <v>1750</v>
      </c>
      <c r="H92" s="99">
        <v>2320</v>
      </c>
      <c r="I92" s="100">
        <v>1989</v>
      </c>
      <c r="J92" s="62">
        <v>0</v>
      </c>
      <c r="K92" s="62" t="s">
        <v>178</v>
      </c>
      <c r="L92" s="101">
        <v>272000</v>
      </c>
      <c r="M92" s="101">
        <v>259000</v>
      </c>
      <c r="N92" s="62"/>
      <c r="O92" s="102">
        <v>2.94</v>
      </c>
      <c r="P92" s="103">
        <f t="shared" si="8"/>
        <v>45839</v>
      </c>
      <c r="Q92" s="104">
        <f t="shared" si="9"/>
        <v>148</v>
      </c>
      <c r="R92" s="105">
        <f t="shared" si="10"/>
        <v>0.95220588235294112</v>
      </c>
      <c r="S92" s="101">
        <f t="shared" si="11"/>
        <v>-13000</v>
      </c>
      <c r="T92" s="104">
        <f t="shared" si="12"/>
        <v>7614.6</v>
      </c>
      <c r="U92" s="62">
        <f t="shared" si="13"/>
        <v>36</v>
      </c>
      <c r="V92" s="62" t="str">
        <f t="shared" si="14"/>
        <v>$200-300K</v>
      </c>
      <c r="W92" s="62" t="str">
        <f t="shared" si="15"/>
        <v/>
      </c>
      <c r="X92" s="62" t="s">
        <v>439</v>
      </c>
    </row>
    <row r="93" spans="1:24" x14ac:dyDescent="0.35">
      <c r="A93" s="62">
        <v>10013</v>
      </c>
      <c r="B93" s="98">
        <v>45858</v>
      </c>
      <c r="C93" s="62" t="s">
        <v>74</v>
      </c>
      <c r="D93" s="62" t="s">
        <v>27</v>
      </c>
      <c r="E93" s="62">
        <v>3</v>
      </c>
      <c r="F93" s="62">
        <v>2</v>
      </c>
      <c r="G93" s="99">
        <v>1740</v>
      </c>
      <c r="H93" s="99">
        <v>3960</v>
      </c>
      <c r="I93" s="100">
        <v>1968</v>
      </c>
      <c r="J93" s="62">
        <v>2</v>
      </c>
      <c r="K93" s="62" t="s">
        <v>180</v>
      </c>
      <c r="L93" s="101">
        <v>303000</v>
      </c>
      <c r="M93" s="101">
        <v>306000</v>
      </c>
      <c r="N93" s="62">
        <v>41</v>
      </c>
      <c r="O93" s="102">
        <v>3.05</v>
      </c>
      <c r="P93" s="103">
        <f t="shared" si="8"/>
        <v>45839</v>
      </c>
      <c r="Q93" s="104">
        <f t="shared" si="9"/>
        <v>175.86206896551724</v>
      </c>
      <c r="R93" s="105">
        <f t="shared" si="10"/>
        <v>1.0099009900990099</v>
      </c>
      <c r="S93" s="101">
        <f t="shared" si="11"/>
        <v>3000</v>
      </c>
      <c r="T93" s="104">
        <f t="shared" si="12"/>
        <v>9333</v>
      </c>
      <c r="U93" s="62">
        <f t="shared" si="13"/>
        <v>57</v>
      </c>
      <c r="V93" s="62" t="str">
        <f t="shared" si="14"/>
        <v>$300-400K</v>
      </c>
      <c r="W93" s="62" t="str">
        <f t="shared" si="15"/>
        <v/>
      </c>
      <c r="X93" s="62" t="s">
        <v>441</v>
      </c>
    </row>
    <row r="94" spans="1:24" x14ac:dyDescent="0.35">
      <c r="A94" s="62">
        <v>10189</v>
      </c>
      <c r="B94" s="98">
        <v>45862</v>
      </c>
      <c r="C94" s="62" t="s">
        <v>182</v>
      </c>
      <c r="D94" s="62" t="s">
        <v>28</v>
      </c>
      <c r="E94" s="62">
        <v>2</v>
      </c>
      <c r="F94" s="62">
        <v>1.5</v>
      </c>
      <c r="G94" s="99">
        <v>1280</v>
      </c>
      <c r="H94" s="99">
        <v>2060</v>
      </c>
      <c r="I94" s="100">
        <v>2024</v>
      </c>
      <c r="J94" s="62">
        <v>2</v>
      </c>
      <c r="K94" s="62" t="s">
        <v>179</v>
      </c>
      <c r="L94" s="101">
        <v>365000</v>
      </c>
      <c r="M94" s="101">
        <v>365000</v>
      </c>
      <c r="N94" s="62">
        <v>35</v>
      </c>
      <c r="O94" s="102">
        <v>3.07</v>
      </c>
      <c r="P94" s="103">
        <f t="shared" si="8"/>
        <v>45839</v>
      </c>
      <c r="Q94" s="104">
        <f t="shared" si="9"/>
        <v>285.15625</v>
      </c>
      <c r="R94" s="105">
        <f t="shared" si="10"/>
        <v>1</v>
      </c>
      <c r="S94" s="101">
        <f t="shared" si="11"/>
        <v>0</v>
      </c>
      <c r="T94" s="104">
        <f t="shared" si="12"/>
        <v>11205.5</v>
      </c>
      <c r="U94" s="62">
        <f t="shared" si="13"/>
        <v>1</v>
      </c>
      <c r="V94" s="62" t="str">
        <f t="shared" si="14"/>
        <v>$300-400K</v>
      </c>
      <c r="W94" s="62" t="str">
        <f t="shared" si="15"/>
        <v/>
      </c>
      <c r="X94" s="62" t="s">
        <v>456</v>
      </c>
    </row>
    <row r="95" spans="1:24" x14ac:dyDescent="0.35">
      <c r="A95" s="62">
        <v>10242</v>
      </c>
      <c r="B95" s="98">
        <v>45863</v>
      </c>
      <c r="C95" s="62" t="s">
        <v>73</v>
      </c>
      <c r="D95" s="62" t="s">
        <v>26</v>
      </c>
      <c r="E95" s="62">
        <v>2</v>
      </c>
      <c r="F95" s="62">
        <v>2</v>
      </c>
      <c r="G95" s="99">
        <v>1230</v>
      </c>
      <c r="H95" s="99">
        <v>0</v>
      </c>
      <c r="I95" s="100">
        <v>1965</v>
      </c>
      <c r="J95" s="62">
        <v>1</v>
      </c>
      <c r="K95" s="62" t="s">
        <v>180</v>
      </c>
      <c r="L95" s="101">
        <v>309000</v>
      </c>
      <c r="M95" s="101">
        <v>286000</v>
      </c>
      <c r="N95" s="62">
        <v>82</v>
      </c>
      <c r="O95" s="102">
        <v>2.41</v>
      </c>
      <c r="P95" s="103">
        <f t="shared" si="8"/>
        <v>45839</v>
      </c>
      <c r="Q95" s="104">
        <f t="shared" si="9"/>
        <v>232.52032520325204</v>
      </c>
      <c r="R95" s="105">
        <f t="shared" si="10"/>
        <v>0.92556634304207119</v>
      </c>
      <c r="S95" s="101">
        <f t="shared" si="11"/>
        <v>-23000</v>
      </c>
      <c r="T95" s="104">
        <f t="shared" si="12"/>
        <v>6892.6</v>
      </c>
      <c r="U95" s="62">
        <f t="shared" si="13"/>
        <v>60</v>
      </c>
      <c r="V95" s="62" t="str">
        <f t="shared" si="14"/>
        <v>$200-300K</v>
      </c>
      <c r="W95" s="62" t="str">
        <f t="shared" si="15"/>
        <v/>
      </c>
      <c r="X95" s="62" t="s">
        <v>431</v>
      </c>
    </row>
    <row r="96" spans="1:24" x14ac:dyDescent="0.35">
      <c r="A96" s="62">
        <v>10248</v>
      </c>
      <c r="B96" s="98">
        <v>45866</v>
      </c>
      <c r="C96" s="62" t="s">
        <v>76</v>
      </c>
      <c r="D96" s="62" t="s">
        <v>28</v>
      </c>
      <c r="E96" s="62">
        <v>2</v>
      </c>
      <c r="F96" s="62">
        <v>1</v>
      </c>
      <c r="G96" s="99">
        <v>1350</v>
      </c>
      <c r="H96" s="99">
        <v>2720</v>
      </c>
      <c r="I96" s="100">
        <v>2015</v>
      </c>
      <c r="J96" s="62">
        <v>2</v>
      </c>
      <c r="K96" s="62" t="s">
        <v>179</v>
      </c>
      <c r="L96" s="101">
        <v>311000</v>
      </c>
      <c r="M96" s="101">
        <v>295000</v>
      </c>
      <c r="N96" s="62">
        <v>87</v>
      </c>
      <c r="O96" s="102">
        <v>2.52</v>
      </c>
      <c r="P96" s="103">
        <f t="shared" si="8"/>
        <v>45839</v>
      </c>
      <c r="Q96" s="104">
        <f t="shared" si="9"/>
        <v>218.5185185185185</v>
      </c>
      <c r="R96" s="105">
        <f t="shared" si="10"/>
        <v>0.94855305466237938</v>
      </c>
      <c r="S96" s="101">
        <f t="shared" si="11"/>
        <v>-16000</v>
      </c>
      <c r="T96" s="104">
        <f t="shared" si="12"/>
        <v>7434</v>
      </c>
      <c r="U96" s="62">
        <f t="shared" si="13"/>
        <v>10</v>
      </c>
      <c r="V96" s="62" t="str">
        <f t="shared" si="14"/>
        <v>$200-300K</v>
      </c>
      <c r="W96" s="62" t="str">
        <f t="shared" si="15"/>
        <v/>
      </c>
      <c r="X96" s="62" t="s">
        <v>441</v>
      </c>
    </row>
    <row r="97" spans="1:24" x14ac:dyDescent="0.35">
      <c r="A97" s="62">
        <v>10146</v>
      </c>
      <c r="B97" s="98">
        <v>45868</v>
      </c>
      <c r="C97" s="62" t="s">
        <v>76</v>
      </c>
      <c r="D97" s="62" t="s">
        <v>27</v>
      </c>
      <c r="E97" s="62">
        <v>3</v>
      </c>
      <c r="F97" s="62">
        <v>2</v>
      </c>
      <c r="G97" s="99">
        <v>1970</v>
      </c>
      <c r="H97" s="99">
        <v>7310</v>
      </c>
      <c r="I97" s="100">
        <v>2024</v>
      </c>
      <c r="J97" s="62">
        <v>1</v>
      </c>
      <c r="K97" s="62" t="s">
        <v>180</v>
      </c>
      <c r="L97" s="101">
        <v>437000</v>
      </c>
      <c r="M97" s="101">
        <v>429000</v>
      </c>
      <c r="N97" s="62">
        <v>74</v>
      </c>
      <c r="O97" s="102"/>
      <c r="P97" s="103">
        <f t="shared" si="8"/>
        <v>45839</v>
      </c>
      <c r="Q97" s="104">
        <f t="shared" si="9"/>
        <v>217.76649746192894</v>
      </c>
      <c r="R97" s="105">
        <f t="shared" si="10"/>
        <v>0.98169336384439354</v>
      </c>
      <c r="S97" s="101">
        <f t="shared" si="11"/>
        <v>-8000</v>
      </c>
      <c r="T97" s="104" t="str">
        <f t="shared" si="12"/>
        <v/>
      </c>
      <c r="U97" s="62">
        <f t="shared" si="13"/>
        <v>1</v>
      </c>
      <c r="V97" s="62" t="str">
        <f t="shared" si="14"/>
        <v>$400-500K</v>
      </c>
      <c r="W97" s="62" t="str">
        <f t="shared" si="15"/>
        <v/>
      </c>
      <c r="X97" s="62" t="s">
        <v>454</v>
      </c>
    </row>
    <row r="98" spans="1:24" x14ac:dyDescent="0.35">
      <c r="A98" s="62">
        <v>10076</v>
      </c>
      <c r="B98" s="98">
        <v>45869</v>
      </c>
      <c r="C98" s="62" t="s">
        <v>76</v>
      </c>
      <c r="D98" s="62" t="s">
        <v>28</v>
      </c>
      <c r="E98" s="62">
        <v>3</v>
      </c>
      <c r="F98" s="62">
        <v>3</v>
      </c>
      <c r="G98" s="99">
        <v>1580</v>
      </c>
      <c r="H98" s="99">
        <v>2130</v>
      </c>
      <c r="I98" s="100">
        <v>1940</v>
      </c>
      <c r="J98" s="62">
        <v>2</v>
      </c>
      <c r="K98" s="62" t="s">
        <v>182</v>
      </c>
      <c r="L98" s="101">
        <v>333000</v>
      </c>
      <c r="M98" s="101">
        <v>317000</v>
      </c>
      <c r="N98" s="62">
        <v>42</v>
      </c>
      <c r="O98" s="102">
        <v>2.78</v>
      </c>
      <c r="P98" s="103">
        <f t="shared" si="8"/>
        <v>45839</v>
      </c>
      <c r="Q98" s="104">
        <f t="shared" si="9"/>
        <v>200.63291139240508</v>
      </c>
      <c r="R98" s="105">
        <f t="shared" si="10"/>
        <v>0.95195195195195192</v>
      </c>
      <c r="S98" s="101">
        <f t="shared" si="11"/>
        <v>-16000</v>
      </c>
      <c r="T98" s="104">
        <f t="shared" si="12"/>
        <v>8812.5999999999985</v>
      </c>
      <c r="U98" s="62">
        <f t="shared" si="13"/>
        <v>85</v>
      </c>
      <c r="V98" s="62" t="str">
        <f t="shared" si="14"/>
        <v>$300-400K</v>
      </c>
      <c r="W98" s="62" t="str">
        <f t="shared" si="15"/>
        <v/>
      </c>
      <c r="X98" s="62" t="s">
        <v>457</v>
      </c>
    </row>
    <row r="99" spans="1:24" x14ac:dyDescent="0.35">
      <c r="A99" s="62">
        <v>10020</v>
      </c>
      <c r="B99" s="98">
        <v>45870</v>
      </c>
      <c r="C99" s="62" t="s">
        <v>74</v>
      </c>
      <c r="D99" s="62" t="s">
        <v>27</v>
      </c>
      <c r="E99" s="62">
        <v>3</v>
      </c>
      <c r="F99" s="62">
        <v>2.5</v>
      </c>
      <c r="G99" s="99">
        <v>2030</v>
      </c>
      <c r="H99" s="99">
        <v>6600</v>
      </c>
      <c r="I99" s="100">
        <v>2019</v>
      </c>
      <c r="J99" s="62">
        <v>2</v>
      </c>
      <c r="K99" s="62" t="s">
        <v>179</v>
      </c>
      <c r="L99" s="101">
        <v>464000</v>
      </c>
      <c r="M99" s="101">
        <v>447000</v>
      </c>
      <c r="N99" s="62">
        <v>98</v>
      </c>
      <c r="O99" s="102">
        <v>2.71</v>
      </c>
      <c r="P99" s="103">
        <f t="shared" si="8"/>
        <v>45870</v>
      </c>
      <c r="Q99" s="104">
        <f t="shared" si="9"/>
        <v>220.19704433497537</v>
      </c>
      <c r="R99" s="105">
        <f t="shared" si="10"/>
        <v>0.96336206896551724</v>
      </c>
      <c r="S99" s="101">
        <f t="shared" si="11"/>
        <v>-17000</v>
      </c>
      <c r="T99" s="104">
        <f t="shared" si="12"/>
        <v>12113.7</v>
      </c>
      <c r="U99" s="62">
        <f t="shared" si="13"/>
        <v>6</v>
      </c>
      <c r="V99" s="62" t="str">
        <f t="shared" si="14"/>
        <v>$400-500K</v>
      </c>
      <c r="W99" s="62" t="str">
        <f t="shared" si="15"/>
        <v/>
      </c>
      <c r="X99" s="62" t="s">
        <v>441</v>
      </c>
    </row>
    <row r="100" spans="1:24" x14ac:dyDescent="0.35">
      <c r="A100" s="62">
        <v>10171</v>
      </c>
      <c r="B100" s="98">
        <v>45870</v>
      </c>
      <c r="C100" s="62" t="s">
        <v>76</v>
      </c>
      <c r="D100" s="62" t="s">
        <v>28</v>
      </c>
      <c r="E100" s="62">
        <v>3</v>
      </c>
      <c r="F100" s="62">
        <v>3</v>
      </c>
      <c r="G100" s="99">
        <v>1530</v>
      </c>
      <c r="H100" s="99">
        <v>2360</v>
      </c>
      <c r="I100" s="100">
        <v>1992</v>
      </c>
      <c r="J100" s="62">
        <v>1</v>
      </c>
      <c r="K100" s="62" t="s">
        <v>178</v>
      </c>
      <c r="L100" s="101">
        <v>348000</v>
      </c>
      <c r="M100" s="101">
        <v>340000</v>
      </c>
      <c r="N100" s="62">
        <v>31</v>
      </c>
      <c r="O100" s="102">
        <v>2.67</v>
      </c>
      <c r="P100" s="103">
        <f t="shared" si="8"/>
        <v>45870</v>
      </c>
      <c r="Q100" s="104">
        <f t="shared" si="9"/>
        <v>222.22222222222223</v>
      </c>
      <c r="R100" s="105">
        <f t="shared" si="10"/>
        <v>0.97701149425287359</v>
      </c>
      <c r="S100" s="101">
        <f t="shared" si="11"/>
        <v>-8000</v>
      </c>
      <c r="T100" s="104">
        <f t="shared" si="12"/>
        <v>9078</v>
      </c>
      <c r="U100" s="62">
        <f t="shared" si="13"/>
        <v>33</v>
      </c>
      <c r="V100" s="62" t="str">
        <f t="shared" si="14"/>
        <v>$300-400K</v>
      </c>
      <c r="W100" s="62" t="str">
        <f t="shared" si="15"/>
        <v/>
      </c>
      <c r="X100" s="62" t="s">
        <v>431</v>
      </c>
    </row>
    <row r="101" spans="1:24" x14ac:dyDescent="0.35">
      <c r="A101" s="62">
        <v>10042</v>
      </c>
      <c r="B101" s="98">
        <v>45872</v>
      </c>
      <c r="C101" s="62" t="s">
        <v>72</v>
      </c>
      <c r="D101" s="62" t="s">
        <v>27</v>
      </c>
      <c r="E101" s="62">
        <v>4</v>
      </c>
      <c r="F101" s="62">
        <v>3</v>
      </c>
      <c r="G101" s="99">
        <v>2060</v>
      </c>
      <c r="H101" s="99">
        <v>6640</v>
      </c>
      <c r="I101" s="100">
        <v>2023</v>
      </c>
      <c r="J101" s="62">
        <v>2</v>
      </c>
      <c r="K101" s="62" t="s">
        <v>179</v>
      </c>
      <c r="L101" s="101">
        <v>386000</v>
      </c>
      <c r="M101" s="101">
        <v>372000</v>
      </c>
      <c r="N101" s="62">
        <v>29</v>
      </c>
      <c r="O101" s="102">
        <v>3</v>
      </c>
      <c r="P101" s="103">
        <f t="shared" si="8"/>
        <v>45870</v>
      </c>
      <c r="Q101" s="104">
        <f t="shared" si="9"/>
        <v>180.58252427184465</v>
      </c>
      <c r="R101" s="105">
        <f t="shared" si="10"/>
        <v>0.96373056994818651</v>
      </c>
      <c r="S101" s="101">
        <f t="shared" si="11"/>
        <v>-14000</v>
      </c>
      <c r="T101" s="104">
        <f t="shared" si="12"/>
        <v>11160</v>
      </c>
      <c r="U101" s="62">
        <f t="shared" si="13"/>
        <v>2</v>
      </c>
      <c r="V101" s="62" t="str">
        <f t="shared" si="14"/>
        <v>$300-400K</v>
      </c>
      <c r="W101" s="62" t="str">
        <f t="shared" si="15"/>
        <v/>
      </c>
      <c r="X101" s="62" t="s">
        <v>431</v>
      </c>
    </row>
    <row r="102" spans="1:24" x14ac:dyDescent="0.35">
      <c r="A102" s="62">
        <v>10209</v>
      </c>
      <c r="B102" s="98">
        <v>45872</v>
      </c>
      <c r="C102" s="62" t="s">
        <v>75</v>
      </c>
      <c r="D102" s="62" t="s">
        <v>28</v>
      </c>
      <c r="E102" s="62">
        <v>2</v>
      </c>
      <c r="F102" s="62">
        <v>1.5</v>
      </c>
      <c r="G102" s="99">
        <v>1360</v>
      </c>
      <c r="H102" s="99">
        <v>2150</v>
      </c>
      <c r="I102" s="100">
        <v>1957</v>
      </c>
      <c r="J102" s="62">
        <v>1</v>
      </c>
      <c r="K102" s="62" t="s">
        <v>179</v>
      </c>
      <c r="L102" s="101">
        <v>311000</v>
      </c>
      <c r="M102" s="101">
        <v>289000</v>
      </c>
      <c r="N102" s="62">
        <v>71</v>
      </c>
      <c r="O102" s="102">
        <v>3.29</v>
      </c>
      <c r="P102" s="103">
        <f t="shared" si="8"/>
        <v>45870</v>
      </c>
      <c r="Q102" s="104">
        <f t="shared" si="9"/>
        <v>212.5</v>
      </c>
      <c r="R102" s="105">
        <f t="shared" si="10"/>
        <v>0.92926045016077174</v>
      </c>
      <c r="S102" s="101">
        <f t="shared" si="11"/>
        <v>-22000</v>
      </c>
      <c r="T102" s="104">
        <f t="shared" si="12"/>
        <v>9508.1</v>
      </c>
      <c r="U102" s="62">
        <f t="shared" si="13"/>
        <v>68</v>
      </c>
      <c r="V102" s="62" t="str">
        <f t="shared" si="14"/>
        <v>$200-300K</v>
      </c>
      <c r="W102" s="62" t="str">
        <f t="shared" si="15"/>
        <v/>
      </c>
      <c r="X102" s="62"/>
    </row>
    <row r="103" spans="1:24" x14ac:dyDescent="0.35">
      <c r="A103" s="62">
        <v>10192</v>
      </c>
      <c r="B103" s="98">
        <v>45875</v>
      </c>
      <c r="C103" s="62" t="s">
        <v>76</v>
      </c>
      <c r="D103" s="62" t="s">
        <v>27</v>
      </c>
      <c r="E103" s="62">
        <v>2</v>
      </c>
      <c r="F103" s="62">
        <v>2.5</v>
      </c>
      <c r="G103" s="99">
        <v>1530</v>
      </c>
      <c r="H103" s="99">
        <v>3600</v>
      </c>
      <c r="I103" s="100">
        <v>2014</v>
      </c>
      <c r="J103" s="62">
        <v>2</v>
      </c>
      <c r="K103" s="62" t="s">
        <v>180</v>
      </c>
      <c r="L103" s="101">
        <v>360000</v>
      </c>
      <c r="M103" s="101">
        <v>372000</v>
      </c>
      <c r="N103" s="62">
        <v>76</v>
      </c>
      <c r="O103" s="102">
        <v>3.02</v>
      </c>
      <c r="P103" s="103">
        <f t="shared" si="8"/>
        <v>45870</v>
      </c>
      <c r="Q103" s="104">
        <f t="shared" si="9"/>
        <v>243.13725490196077</v>
      </c>
      <c r="R103" s="105">
        <f t="shared" si="10"/>
        <v>1.0333333333333334</v>
      </c>
      <c r="S103" s="101">
        <f t="shared" si="11"/>
        <v>12000</v>
      </c>
      <c r="T103" s="104">
        <f t="shared" si="12"/>
        <v>11234.4</v>
      </c>
      <c r="U103" s="62">
        <f t="shared" si="13"/>
        <v>11</v>
      </c>
      <c r="V103" s="62" t="str">
        <f t="shared" si="14"/>
        <v>$300-400K</v>
      </c>
      <c r="W103" s="62" t="str">
        <f t="shared" si="15"/>
        <v/>
      </c>
      <c r="X103" s="62"/>
    </row>
    <row r="104" spans="1:24" x14ac:dyDescent="0.35">
      <c r="A104" s="62">
        <v>10148</v>
      </c>
      <c r="B104" s="98">
        <v>45877</v>
      </c>
      <c r="C104" s="62" t="s">
        <v>74</v>
      </c>
      <c r="D104" s="62" t="s">
        <v>27</v>
      </c>
      <c r="E104" s="62">
        <v>5</v>
      </c>
      <c r="F104" s="62">
        <v>4.5</v>
      </c>
      <c r="G104" s="99">
        <v>2630</v>
      </c>
      <c r="H104" s="99">
        <v>10440</v>
      </c>
      <c r="I104" s="100">
        <v>2014</v>
      </c>
      <c r="J104" s="62">
        <v>2</v>
      </c>
      <c r="K104" s="62" t="s">
        <v>182</v>
      </c>
      <c r="L104" s="101">
        <v>498000</v>
      </c>
      <c r="M104" s="101">
        <v>485000</v>
      </c>
      <c r="N104" s="62">
        <v>63</v>
      </c>
      <c r="O104" s="102">
        <v>3</v>
      </c>
      <c r="P104" s="103">
        <f t="shared" si="8"/>
        <v>45870</v>
      </c>
      <c r="Q104" s="104">
        <f t="shared" si="9"/>
        <v>184.41064638783271</v>
      </c>
      <c r="R104" s="105">
        <f t="shared" si="10"/>
        <v>0.97389558232931728</v>
      </c>
      <c r="S104" s="101">
        <f t="shared" si="11"/>
        <v>-13000</v>
      </c>
      <c r="T104" s="104">
        <f t="shared" si="12"/>
        <v>14550</v>
      </c>
      <c r="U104" s="62">
        <f t="shared" si="13"/>
        <v>11</v>
      </c>
      <c r="V104" s="62" t="str">
        <f t="shared" si="14"/>
        <v>$400-500K</v>
      </c>
      <c r="W104" s="62" t="str">
        <f t="shared" si="15"/>
        <v/>
      </c>
      <c r="X104" s="62" t="s">
        <v>449</v>
      </c>
    </row>
    <row r="105" spans="1:24" x14ac:dyDescent="0.35">
      <c r="A105" s="62">
        <v>10049</v>
      </c>
      <c r="B105" s="98">
        <v>45878</v>
      </c>
      <c r="C105" s="62" t="s">
        <v>74</v>
      </c>
      <c r="D105" s="62" t="s">
        <v>28</v>
      </c>
      <c r="E105" s="62">
        <v>4</v>
      </c>
      <c r="F105" s="62">
        <v>2.5</v>
      </c>
      <c r="G105" s="99">
        <v>2510</v>
      </c>
      <c r="H105" s="99">
        <v>1980</v>
      </c>
      <c r="I105" s="100">
        <v>2022</v>
      </c>
      <c r="J105" s="62">
        <v>2</v>
      </c>
      <c r="K105" s="62" t="s">
        <v>179</v>
      </c>
      <c r="L105" s="101">
        <v>492000</v>
      </c>
      <c r="M105" s="101">
        <v>498000</v>
      </c>
      <c r="N105" s="62">
        <v>25</v>
      </c>
      <c r="O105" s="102">
        <v>3</v>
      </c>
      <c r="P105" s="103">
        <f t="shared" si="8"/>
        <v>45870</v>
      </c>
      <c r="Q105" s="104">
        <f t="shared" si="9"/>
        <v>198.40637450199202</v>
      </c>
      <c r="R105" s="105">
        <f t="shared" si="10"/>
        <v>1.0121951219512195</v>
      </c>
      <c r="S105" s="101">
        <f t="shared" si="11"/>
        <v>6000</v>
      </c>
      <c r="T105" s="104">
        <f t="shared" si="12"/>
        <v>14940</v>
      </c>
      <c r="U105" s="62">
        <f t="shared" si="13"/>
        <v>3</v>
      </c>
      <c r="V105" s="62" t="str">
        <f t="shared" si="14"/>
        <v>$400-500K</v>
      </c>
      <c r="W105" s="62" t="str">
        <f t="shared" si="15"/>
        <v/>
      </c>
      <c r="X105" s="62" t="s">
        <v>431</v>
      </c>
    </row>
    <row r="106" spans="1:24" x14ac:dyDescent="0.35">
      <c r="A106" s="62">
        <v>10121</v>
      </c>
      <c r="B106" s="98">
        <v>45880</v>
      </c>
      <c r="C106" s="62" t="s">
        <v>74</v>
      </c>
      <c r="D106" s="62" t="s">
        <v>28</v>
      </c>
      <c r="E106" s="62">
        <v>3</v>
      </c>
      <c r="F106" s="62">
        <v>3</v>
      </c>
      <c r="G106" s="99">
        <v>1940</v>
      </c>
      <c r="H106" s="99">
        <v>1440</v>
      </c>
      <c r="I106" s="100">
        <v>1986</v>
      </c>
      <c r="J106" s="62">
        <v>1</v>
      </c>
      <c r="K106" s="62" t="s">
        <v>179</v>
      </c>
      <c r="L106" s="101">
        <v>384000</v>
      </c>
      <c r="M106" s="101">
        <v>373000</v>
      </c>
      <c r="N106" s="62">
        <v>34</v>
      </c>
      <c r="O106" s="102">
        <v>2.5299999999999998</v>
      </c>
      <c r="P106" s="103">
        <f t="shared" si="8"/>
        <v>45870</v>
      </c>
      <c r="Q106" s="104">
        <f t="shared" si="9"/>
        <v>192.26804123711341</v>
      </c>
      <c r="R106" s="105">
        <f t="shared" si="10"/>
        <v>0.97135416666666663</v>
      </c>
      <c r="S106" s="101">
        <f t="shared" si="11"/>
        <v>-11000</v>
      </c>
      <c r="T106" s="104">
        <f t="shared" si="12"/>
        <v>9436.9</v>
      </c>
      <c r="U106" s="62">
        <f t="shared" si="13"/>
        <v>39</v>
      </c>
      <c r="V106" s="62" t="str">
        <f t="shared" si="14"/>
        <v>$300-400K</v>
      </c>
      <c r="W106" s="62" t="str">
        <f t="shared" si="15"/>
        <v/>
      </c>
      <c r="X106" s="62" t="s">
        <v>441</v>
      </c>
    </row>
    <row r="107" spans="1:24" x14ac:dyDescent="0.35">
      <c r="A107" s="62">
        <v>10063</v>
      </c>
      <c r="B107" s="98">
        <v>45883</v>
      </c>
      <c r="C107" s="62" t="s">
        <v>74</v>
      </c>
      <c r="D107" s="62" t="s">
        <v>27</v>
      </c>
      <c r="E107" s="62">
        <v>4</v>
      </c>
      <c r="F107" s="62">
        <v>2.5</v>
      </c>
      <c r="G107" s="99">
        <v>2130</v>
      </c>
      <c r="H107" s="99">
        <v>9440</v>
      </c>
      <c r="I107" s="100">
        <v>1952</v>
      </c>
      <c r="J107" s="62">
        <v>0</v>
      </c>
      <c r="K107" s="62" t="s">
        <v>179</v>
      </c>
      <c r="L107" s="101">
        <v>386000</v>
      </c>
      <c r="M107" s="101">
        <v>390000</v>
      </c>
      <c r="N107" s="62">
        <v>60</v>
      </c>
      <c r="O107" s="102">
        <v>3.3</v>
      </c>
      <c r="P107" s="103">
        <f t="shared" si="8"/>
        <v>45870</v>
      </c>
      <c r="Q107" s="104">
        <f t="shared" si="9"/>
        <v>183.09859154929578</v>
      </c>
      <c r="R107" s="105">
        <f t="shared" si="10"/>
        <v>1.0103626943005182</v>
      </c>
      <c r="S107" s="101">
        <f t="shared" si="11"/>
        <v>4000</v>
      </c>
      <c r="T107" s="104">
        <f t="shared" si="12"/>
        <v>12870</v>
      </c>
      <c r="U107" s="62">
        <f t="shared" si="13"/>
        <v>73</v>
      </c>
      <c r="V107" s="62" t="str">
        <f t="shared" si="14"/>
        <v>$300-400K</v>
      </c>
      <c r="W107" s="62" t="str">
        <f t="shared" si="15"/>
        <v/>
      </c>
      <c r="X107" s="62" t="s">
        <v>433</v>
      </c>
    </row>
    <row r="108" spans="1:24" x14ac:dyDescent="0.35">
      <c r="A108" s="62">
        <v>10022</v>
      </c>
      <c r="B108" s="98">
        <v>45888</v>
      </c>
      <c r="C108" s="62" t="s">
        <v>76</v>
      </c>
      <c r="D108" s="62" t="s">
        <v>27</v>
      </c>
      <c r="E108" s="62">
        <v>3</v>
      </c>
      <c r="F108" s="62">
        <v>2.5</v>
      </c>
      <c r="G108" s="99">
        <v>1840</v>
      </c>
      <c r="H108" s="99">
        <v>7480</v>
      </c>
      <c r="I108" s="100">
        <v>2020</v>
      </c>
      <c r="J108" s="62">
        <v>2</v>
      </c>
      <c r="K108" s="62" t="s">
        <v>180</v>
      </c>
      <c r="L108" s="101">
        <v>495000</v>
      </c>
      <c r="M108" s="101">
        <v>514000</v>
      </c>
      <c r="N108" s="62">
        <v>93</v>
      </c>
      <c r="O108" s="102">
        <v>2.5</v>
      </c>
      <c r="P108" s="103">
        <f t="shared" si="8"/>
        <v>45870</v>
      </c>
      <c r="Q108" s="104">
        <f t="shared" si="9"/>
        <v>279.3478260869565</v>
      </c>
      <c r="R108" s="105">
        <f t="shared" si="10"/>
        <v>1.0383838383838384</v>
      </c>
      <c r="S108" s="101">
        <f t="shared" si="11"/>
        <v>19000</v>
      </c>
      <c r="T108" s="104">
        <f t="shared" si="12"/>
        <v>12850</v>
      </c>
      <c r="U108" s="62">
        <f t="shared" si="13"/>
        <v>5</v>
      </c>
      <c r="V108" s="62" t="str">
        <f t="shared" si="14"/>
        <v>$500-600K</v>
      </c>
      <c r="W108" s="62" t="str">
        <f t="shared" si="15"/>
        <v/>
      </c>
      <c r="X108" s="62" t="s">
        <v>441</v>
      </c>
    </row>
    <row r="109" spans="1:24" x14ac:dyDescent="0.35">
      <c r="A109" s="62">
        <v>10145</v>
      </c>
      <c r="B109" s="98">
        <v>45895</v>
      </c>
      <c r="C109" s="62" t="s">
        <v>74</v>
      </c>
      <c r="D109" s="62" t="s">
        <v>27</v>
      </c>
      <c r="E109" s="62">
        <v>4</v>
      </c>
      <c r="F109" s="62">
        <v>3.5</v>
      </c>
      <c r="G109" s="99">
        <v>2120</v>
      </c>
      <c r="H109" s="99">
        <v>5120</v>
      </c>
      <c r="I109" s="100">
        <v>2016</v>
      </c>
      <c r="J109" s="62">
        <v>2</v>
      </c>
      <c r="K109" s="62" t="s">
        <v>178</v>
      </c>
      <c r="L109" s="101">
        <v>455000</v>
      </c>
      <c r="M109" s="101">
        <v>444000</v>
      </c>
      <c r="N109" s="62">
        <v>46</v>
      </c>
      <c r="O109" s="102">
        <v>3.16</v>
      </c>
      <c r="P109" s="103">
        <f t="shared" si="8"/>
        <v>45870</v>
      </c>
      <c r="Q109" s="104">
        <f t="shared" si="9"/>
        <v>209.43396226415095</v>
      </c>
      <c r="R109" s="105">
        <f t="shared" si="10"/>
        <v>0.9758241758241758</v>
      </c>
      <c r="S109" s="101">
        <f t="shared" si="11"/>
        <v>-11000</v>
      </c>
      <c r="T109" s="104">
        <f t="shared" si="12"/>
        <v>14030.4</v>
      </c>
      <c r="U109" s="62">
        <f t="shared" si="13"/>
        <v>9</v>
      </c>
      <c r="V109" s="62" t="str">
        <f t="shared" si="14"/>
        <v>$400-500K</v>
      </c>
      <c r="W109" s="62" t="str">
        <f t="shared" si="15"/>
        <v/>
      </c>
      <c r="X109" s="62"/>
    </row>
    <row r="110" spans="1:24" x14ac:dyDescent="0.35">
      <c r="A110" s="62">
        <v>10196</v>
      </c>
      <c r="B110" s="98">
        <v>45898</v>
      </c>
      <c r="C110" s="62" t="s">
        <v>75</v>
      </c>
      <c r="D110" s="62" t="s">
        <v>28</v>
      </c>
      <c r="E110" s="62">
        <v>2</v>
      </c>
      <c r="F110" s="62">
        <v>1</v>
      </c>
      <c r="G110" s="99">
        <v>1040</v>
      </c>
      <c r="H110" s="99">
        <v>2250</v>
      </c>
      <c r="I110" s="100">
        <v>2006</v>
      </c>
      <c r="J110" s="62">
        <v>2</v>
      </c>
      <c r="K110" s="62" t="s">
        <v>178</v>
      </c>
      <c r="L110" s="101">
        <v>347000</v>
      </c>
      <c r="M110" s="101">
        <v>332000</v>
      </c>
      <c r="N110" s="62">
        <v>50</v>
      </c>
      <c r="O110" s="102">
        <v>3.23</v>
      </c>
      <c r="P110" s="103">
        <f t="shared" si="8"/>
        <v>45870</v>
      </c>
      <c r="Q110" s="104">
        <f t="shared" si="9"/>
        <v>319.23076923076923</v>
      </c>
      <c r="R110" s="105">
        <f t="shared" si="10"/>
        <v>0.95677233429394815</v>
      </c>
      <c r="S110" s="101">
        <f t="shared" si="11"/>
        <v>-15000</v>
      </c>
      <c r="T110" s="104">
        <f t="shared" si="12"/>
        <v>10723.6</v>
      </c>
      <c r="U110" s="62">
        <f t="shared" si="13"/>
        <v>19</v>
      </c>
      <c r="V110" s="62" t="str">
        <f t="shared" si="14"/>
        <v>$300-400K</v>
      </c>
      <c r="W110" s="62" t="str">
        <f t="shared" si="15"/>
        <v/>
      </c>
      <c r="X110" s="62"/>
    </row>
    <row r="111" spans="1:24" x14ac:dyDescent="0.35">
      <c r="A111" s="62">
        <v>10075</v>
      </c>
      <c r="B111" s="98">
        <v>45899</v>
      </c>
      <c r="C111" s="62" t="s">
        <v>75</v>
      </c>
      <c r="D111" s="62" t="s">
        <v>26</v>
      </c>
      <c r="E111" s="62">
        <v>2</v>
      </c>
      <c r="F111" s="62">
        <v>2</v>
      </c>
      <c r="G111" s="99">
        <v>1650</v>
      </c>
      <c r="H111" s="99">
        <v>0</v>
      </c>
      <c r="I111" s="100">
        <v>2020</v>
      </c>
      <c r="J111" s="62">
        <v>1</v>
      </c>
      <c r="K111" s="62" t="s">
        <v>180</v>
      </c>
      <c r="L111" s="101">
        <v>367000</v>
      </c>
      <c r="M111" s="101">
        <v>346000</v>
      </c>
      <c r="N111" s="62">
        <v>68</v>
      </c>
      <c r="O111" s="102">
        <v>2.99</v>
      </c>
      <c r="P111" s="103">
        <f t="shared" si="8"/>
        <v>45870</v>
      </c>
      <c r="Q111" s="104">
        <f t="shared" si="9"/>
        <v>209.69696969696969</v>
      </c>
      <c r="R111" s="105">
        <f t="shared" si="10"/>
        <v>0.94277929155313356</v>
      </c>
      <c r="S111" s="101">
        <f t="shared" si="11"/>
        <v>-21000</v>
      </c>
      <c r="T111" s="104">
        <f t="shared" si="12"/>
        <v>10345.400000000001</v>
      </c>
      <c r="U111" s="62">
        <f t="shared" si="13"/>
        <v>5</v>
      </c>
      <c r="V111" s="62" t="str">
        <f t="shared" si="14"/>
        <v>$300-400K</v>
      </c>
      <c r="W111" s="62" t="str">
        <f t="shared" si="15"/>
        <v/>
      </c>
      <c r="X111" s="62"/>
    </row>
    <row r="112" spans="1:24" x14ac:dyDescent="0.35">
      <c r="A112" s="62">
        <v>10158</v>
      </c>
      <c r="B112" s="98">
        <v>45905</v>
      </c>
      <c r="C112" s="62" t="s">
        <v>74</v>
      </c>
      <c r="D112" s="62" t="s">
        <v>26</v>
      </c>
      <c r="E112" s="62">
        <v>1</v>
      </c>
      <c r="F112" s="62">
        <v>1.5</v>
      </c>
      <c r="G112" s="99">
        <v>580</v>
      </c>
      <c r="H112" s="99">
        <v>0</v>
      </c>
      <c r="I112" s="100">
        <v>1984</v>
      </c>
      <c r="J112" s="62">
        <v>1</v>
      </c>
      <c r="K112" s="62" t="s">
        <v>178</v>
      </c>
      <c r="L112" s="101">
        <v>136000</v>
      </c>
      <c r="M112" s="101">
        <v>131000</v>
      </c>
      <c r="N112" s="62">
        <v>33</v>
      </c>
      <c r="O112" s="102">
        <v>3.28</v>
      </c>
      <c r="P112" s="103">
        <f t="shared" si="8"/>
        <v>45901</v>
      </c>
      <c r="Q112" s="104">
        <f t="shared" si="9"/>
        <v>225.86206896551724</v>
      </c>
      <c r="R112" s="105">
        <f t="shared" si="10"/>
        <v>0.96323529411764708</v>
      </c>
      <c r="S112" s="101">
        <f t="shared" si="11"/>
        <v>-5000</v>
      </c>
      <c r="T112" s="104">
        <f t="shared" si="12"/>
        <v>4296.8</v>
      </c>
      <c r="U112" s="62">
        <f t="shared" si="13"/>
        <v>41</v>
      </c>
      <c r="V112" s="62" t="str">
        <f t="shared" si="14"/>
        <v>Under $200K</v>
      </c>
      <c r="W112" s="62" t="str">
        <f t="shared" si="15"/>
        <v/>
      </c>
      <c r="X112" s="62"/>
    </row>
    <row r="113" spans="1:24" x14ac:dyDescent="0.35">
      <c r="A113" s="62">
        <v>10249</v>
      </c>
      <c r="B113" s="98">
        <v>45906</v>
      </c>
      <c r="C113" s="62" t="s">
        <v>76</v>
      </c>
      <c r="D113" s="62" t="s">
        <v>27</v>
      </c>
      <c r="E113" s="62">
        <v>3</v>
      </c>
      <c r="F113" s="62">
        <v>2.5</v>
      </c>
      <c r="G113" s="99">
        <v>1910</v>
      </c>
      <c r="H113" s="99">
        <v>6780</v>
      </c>
      <c r="I113" s="100">
        <v>1949</v>
      </c>
      <c r="J113" s="62">
        <v>1</v>
      </c>
      <c r="K113" s="62" t="s">
        <v>179</v>
      </c>
      <c r="L113" s="101">
        <v>387000</v>
      </c>
      <c r="M113" s="101">
        <v>392000</v>
      </c>
      <c r="N113" s="62">
        <v>41</v>
      </c>
      <c r="O113" s="102">
        <v>2.95</v>
      </c>
      <c r="P113" s="103">
        <f t="shared" si="8"/>
        <v>45901</v>
      </c>
      <c r="Q113" s="104">
        <f t="shared" si="9"/>
        <v>205.23560209424085</v>
      </c>
      <c r="R113" s="105">
        <f t="shared" si="10"/>
        <v>1.0129198966408268</v>
      </c>
      <c r="S113" s="101">
        <f t="shared" si="11"/>
        <v>5000</v>
      </c>
      <c r="T113" s="104">
        <f t="shared" si="12"/>
        <v>11564</v>
      </c>
      <c r="U113" s="62">
        <f t="shared" si="13"/>
        <v>76</v>
      </c>
      <c r="V113" s="62" t="str">
        <f t="shared" si="14"/>
        <v>$300-400K</v>
      </c>
      <c r="W113" s="62" t="str">
        <f t="shared" si="15"/>
        <v/>
      </c>
      <c r="X113" s="62"/>
    </row>
    <row r="114" spans="1:24" x14ac:dyDescent="0.35">
      <c r="A114" s="62">
        <v>10048</v>
      </c>
      <c r="B114" s="98">
        <v>45914</v>
      </c>
      <c r="C114" s="62" t="s">
        <v>76</v>
      </c>
      <c r="D114" s="62" t="s">
        <v>28</v>
      </c>
      <c r="E114" s="62">
        <v>3</v>
      </c>
      <c r="F114" s="62">
        <v>3.5</v>
      </c>
      <c r="G114" s="99">
        <v>1730</v>
      </c>
      <c r="H114" s="99">
        <v>1950</v>
      </c>
      <c r="I114" s="100">
        <v>2003</v>
      </c>
      <c r="J114" s="62">
        <v>2</v>
      </c>
      <c r="K114" s="62" t="s">
        <v>179</v>
      </c>
      <c r="L114" s="101">
        <v>355000</v>
      </c>
      <c r="M114" s="101">
        <v>361000</v>
      </c>
      <c r="N114" s="62">
        <v>32</v>
      </c>
      <c r="O114" s="102"/>
      <c r="P114" s="103">
        <f t="shared" si="8"/>
        <v>45901</v>
      </c>
      <c r="Q114" s="104">
        <f t="shared" si="9"/>
        <v>208.67052023121389</v>
      </c>
      <c r="R114" s="105">
        <f t="shared" si="10"/>
        <v>1.0169014084507042</v>
      </c>
      <c r="S114" s="101">
        <f t="shared" si="11"/>
        <v>6000</v>
      </c>
      <c r="T114" s="104" t="str">
        <f t="shared" si="12"/>
        <v/>
      </c>
      <c r="U114" s="62">
        <f t="shared" si="13"/>
        <v>22</v>
      </c>
      <c r="V114" s="62" t="str">
        <f t="shared" si="14"/>
        <v>$300-400K</v>
      </c>
      <c r="W114" s="62" t="str">
        <f t="shared" si="15"/>
        <v/>
      </c>
      <c r="X114" s="62" t="s">
        <v>458</v>
      </c>
    </row>
    <row r="115" spans="1:24" x14ac:dyDescent="0.35">
      <c r="A115" s="62">
        <v>10226</v>
      </c>
      <c r="B115" s="98">
        <v>45915</v>
      </c>
      <c r="C115" s="62" t="s">
        <v>72</v>
      </c>
      <c r="D115" s="62" t="s">
        <v>27</v>
      </c>
      <c r="E115" s="62">
        <v>4</v>
      </c>
      <c r="F115" s="62">
        <v>4</v>
      </c>
      <c r="G115" s="99">
        <v>2280</v>
      </c>
      <c r="H115" s="99">
        <v>6790</v>
      </c>
      <c r="I115" s="100">
        <v>1935</v>
      </c>
      <c r="J115" s="62">
        <v>1</v>
      </c>
      <c r="K115" s="62" t="s">
        <v>178</v>
      </c>
      <c r="L115" s="101">
        <v>374000</v>
      </c>
      <c r="M115" s="101">
        <v>354000</v>
      </c>
      <c r="N115" s="62">
        <v>36</v>
      </c>
      <c r="O115" s="102">
        <v>3.26</v>
      </c>
      <c r="P115" s="103">
        <f t="shared" si="8"/>
        <v>45901</v>
      </c>
      <c r="Q115" s="104">
        <f t="shared" si="9"/>
        <v>155.26315789473685</v>
      </c>
      <c r="R115" s="105">
        <f t="shared" si="10"/>
        <v>0.946524064171123</v>
      </c>
      <c r="S115" s="101">
        <f t="shared" si="11"/>
        <v>-20000</v>
      </c>
      <c r="T115" s="104">
        <f t="shared" si="12"/>
        <v>11540.4</v>
      </c>
      <c r="U115" s="62">
        <f t="shared" si="13"/>
        <v>90</v>
      </c>
      <c r="V115" s="62" t="str">
        <f t="shared" si="14"/>
        <v>$300-400K</v>
      </c>
      <c r="W115" s="62" t="str">
        <f t="shared" si="15"/>
        <v/>
      </c>
      <c r="X115" s="62"/>
    </row>
    <row r="116" spans="1:24" x14ac:dyDescent="0.35">
      <c r="A116" s="62">
        <v>10097</v>
      </c>
      <c r="B116" s="98">
        <v>45917</v>
      </c>
      <c r="C116" s="62" t="s">
        <v>76</v>
      </c>
      <c r="D116" s="62" t="s">
        <v>26</v>
      </c>
      <c r="E116" s="62">
        <v>2</v>
      </c>
      <c r="F116" s="62">
        <v>2</v>
      </c>
      <c r="G116" s="99">
        <v>1190</v>
      </c>
      <c r="H116" s="99">
        <v>0</v>
      </c>
      <c r="I116" s="100"/>
      <c r="J116" s="62">
        <v>0</v>
      </c>
      <c r="K116" s="62" t="s">
        <v>180</v>
      </c>
      <c r="L116" s="101">
        <v>245000</v>
      </c>
      <c r="M116" s="101">
        <v>234000</v>
      </c>
      <c r="N116" s="62">
        <v>70</v>
      </c>
      <c r="O116" s="102">
        <v>3.2</v>
      </c>
      <c r="P116" s="103">
        <f t="shared" si="8"/>
        <v>45901</v>
      </c>
      <c r="Q116" s="104">
        <f t="shared" si="9"/>
        <v>196.63865546218489</v>
      </c>
      <c r="R116" s="105">
        <f t="shared" si="10"/>
        <v>0.95510204081632655</v>
      </c>
      <c r="S116" s="101">
        <f t="shared" si="11"/>
        <v>-11000</v>
      </c>
      <c r="T116" s="104">
        <f t="shared" si="12"/>
        <v>7488</v>
      </c>
      <c r="U116" s="62" t="str">
        <f t="shared" si="13"/>
        <v/>
      </c>
      <c r="V116" s="62" t="str">
        <f t="shared" si="14"/>
        <v>$200-300K</v>
      </c>
      <c r="W116" s="62" t="str">
        <f t="shared" si="15"/>
        <v/>
      </c>
      <c r="X116" s="62" t="s">
        <v>434</v>
      </c>
    </row>
    <row r="117" spans="1:24" x14ac:dyDescent="0.35">
      <c r="A117" s="62">
        <v>10044</v>
      </c>
      <c r="B117" s="98">
        <v>45923</v>
      </c>
      <c r="C117" s="62" t="s">
        <v>76</v>
      </c>
      <c r="D117" s="62" t="s">
        <v>27</v>
      </c>
      <c r="E117" s="62">
        <v>3</v>
      </c>
      <c r="F117" s="62">
        <v>2</v>
      </c>
      <c r="G117" s="99">
        <v>1800</v>
      </c>
      <c r="H117" s="99">
        <v>4570</v>
      </c>
      <c r="I117" s="100">
        <v>1977</v>
      </c>
      <c r="J117" s="62">
        <v>1</v>
      </c>
      <c r="K117" s="62" t="s">
        <v>180</v>
      </c>
      <c r="L117" s="101">
        <v>401000</v>
      </c>
      <c r="M117" s="101">
        <v>395000</v>
      </c>
      <c r="N117" s="62">
        <v>99</v>
      </c>
      <c r="O117" s="102">
        <v>3</v>
      </c>
      <c r="P117" s="103">
        <f t="shared" si="8"/>
        <v>45901</v>
      </c>
      <c r="Q117" s="104">
        <f t="shared" si="9"/>
        <v>219.44444444444446</v>
      </c>
      <c r="R117" s="105">
        <f t="shared" si="10"/>
        <v>0.98503740648379057</v>
      </c>
      <c r="S117" s="101">
        <f t="shared" si="11"/>
        <v>-6000</v>
      </c>
      <c r="T117" s="104">
        <f t="shared" si="12"/>
        <v>11850</v>
      </c>
      <c r="U117" s="62">
        <f t="shared" si="13"/>
        <v>48</v>
      </c>
      <c r="V117" s="62" t="str">
        <f t="shared" si="14"/>
        <v>$300-400K</v>
      </c>
      <c r="W117" s="62" t="str">
        <f t="shared" si="15"/>
        <v/>
      </c>
      <c r="X117" s="62" t="s">
        <v>441</v>
      </c>
    </row>
    <row r="118" spans="1:24" x14ac:dyDescent="0.35">
      <c r="A118" s="62">
        <v>10217</v>
      </c>
      <c r="B118" s="98">
        <v>45923</v>
      </c>
      <c r="C118" s="62" t="s">
        <v>75</v>
      </c>
      <c r="D118" s="62" t="s">
        <v>28</v>
      </c>
      <c r="E118" s="62">
        <v>3</v>
      </c>
      <c r="F118" s="62">
        <v>2</v>
      </c>
      <c r="G118" s="99">
        <v>1910</v>
      </c>
      <c r="H118" s="99">
        <v>2580</v>
      </c>
      <c r="I118" s="100">
        <v>2013</v>
      </c>
      <c r="J118" s="62">
        <v>3</v>
      </c>
      <c r="K118" s="62" t="s">
        <v>179</v>
      </c>
      <c r="L118" s="101">
        <v>452000</v>
      </c>
      <c r="M118" s="101">
        <v>450000</v>
      </c>
      <c r="N118" s="62">
        <v>33</v>
      </c>
      <c r="O118" s="102">
        <v>3</v>
      </c>
      <c r="P118" s="103">
        <f t="shared" si="8"/>
        <v>45901</v>
      </c>
      <c r="Q118" s="104">
        <f t="shared" si="9"/>
        <v>235.60209424083769</v>
      </c>
      <c r="R118" s="105">
        <f t="shared" si="10"/>
        <v>0.99557522123893805</v>
      </c>
      <c r="S118" s="101">
        <f t="shared" si="11"/>
        <v>-2000</v>
      </c>
      <c r="T118" s="104">
        <f t="shared" si="12"/>
        <v>13500</v>
      </c>
      <c r="U118" s="62">
        <f t="shared" si="13"/>
        <v>12</v>
      </c>
      <c r="V118" s="62" t="str">
        <f t="shared" si="14"/>
        <v>$400-500K</v>
      </c>
      <c r="W118" s="62" t="str">
        <f t="shared" si="15"/>
        <v/>
      </c>
      <c r="X118" s="62"/>
    </row>
    <row r="119" spans="1:24" x14ac:dyDescent="0.35">
      <c r="A119" s="62">
        <v>10222</v>
      </c>
      <c r="B119" s="98">
        <v>45924</v>
      </c>
      <c r="C119" s="62" t="s">
        <v>74</v>
      </c>
      <c r="D119" s="62" t="s">
        <v>27</v>
      </c>
      <c r="E119" s="62">
        <v>3</v>
      </c>
      <c r="F119" s="62">
        <v>2.5</v>
      </c>
      <c r="G119" s="99">
        <v>1570</v>
      </c>
      <c r="H119" s="99">
        <v>6000</v>
      </c>
      <c r="I119" s="100">
        <v>2012</v>
      </c>
      <c r="J119" s="62">
        <v>2</v>
      </c>
      <c r="K119" s="62" t="s">
        <v>178</v>
      </c>
      <c r="L119" s="101">
        <v>363000</v>
      </c>
      <c r="M119" s="101">
        <v>371000</v>
      </c>
      <c r="N119" s="62">
        <v>47</v>
      </c>
      <c r="O119" s="102">
        <v>2.94</v>
      </c>
      <c r="P119" s="103">
        <f t="shared" si="8"/>
        <v>45901</v>
      </c>
      <c r="Q119" s="104">
        <f t="shared" si="9"/>
        <v>236.30573248407643</v>
      </c>
      <c r="R119" s="105">
        <f t="shared" si="10"/>
        <v>1.0220385674931129</v>
      </c>
      <c r="S119" s="101">
        <f t="shared" si="11"/>
        <v>8000</v>
      </c>
      <c r="T119" s="104">
        <f t="shared" si="12"/>
        <v>10907.4</v>
      </c>
      <c r="U119" s="62">
        <f t="shared" si="13"/>
        <v>13</v>
      </c>
      <c r="V119" s="62" t="str">
        <f t="shared" si="14"/>
        <v>$300-400K</v>
      </c>
      <c r="W119" s="62" t="str">
        <f t="shared" si="15"/>
        <v/>
      </c>
      <c r="X119" s="62"/>
    </row>
    <row r="120" spans="1:24" x14ac:dyDescent="0.35">
      <c r="A120" s="62">
        <v>10080</v>
      </c>
      <c r="B120" s="98">
        <v>45925</v>
      </c>
      <c r="C120" s="62" t="s">
        <v>73</v>
      </c>
      <c r="D120" s="62" t="s">
        <v>26</v>
      </c>
      <c r="E120" s="62">
        <v>1</v>
      </c>
      <c r="F120" s="62">
        <v>1.5</v>
      </c>
      <c r="G120" s="99">
        <v>1140</v>
      </c>
      <c r="H120" s="99">
        <v>0</v>
      </c>
      <c r="I120" s="100">
        <v>1935</v>
      </c>
      <c r="J120" s="62">
        <v>1</v>
      </c>
      <c r="K120" s="62" t="s">
        <v>178</v>
      </c>
      <c r="L120" s="101">
        <v>368000</v>
      </c>
      <c r="M120" s="101">
        <v>364000</v>
      </c>
      <c r="N120" s="62">
        <v>42</v>
      </c>
      <c r="O120" s="102">
        <v>2.79</v>
      </c>
      <c r="P120" s="103">
        <f t="shared" si="8"/>
        <v>45901</v>
      </c>
      <c r="Q120" s="104">
        <f t="shared" si="9"/>
        <v>319.29824561403507</v>
      </c>
      <c r="R120" s="105">
        <f t="shared" si="10"/>
        <v>0.98913043478260865</v>
      </c>
      <c r="S120" s="101">
        <f t="shared" si="11"/>
        <v>-4000</v>
      </c>
      <c r="T120" s="104">
        <f t="shared" si="12"/>
        <v>10155.6</v>
      </c>
      <c r="U120" s="62">
        <f t="shared" si="13"/>
        <v>90</v>
      </c>
      <c r="V120" s="62" t="str">
        <f t="shared" si="14"/>
        <v>$300-400K</v>
      </c>
      <c r="W120" s="62" t="str">
        <f t="shared" si="15"/>
        <v/>
      </c>
      <c r="X120" s="62"/>
    </row>
    <row r="121" spans="1:24" x14ac:dyDescent="0.35">
      <c r="A121" s="62">
        <v>10136</v>
      </c>
      <c r="B121" s="98">
        <v>45928</v>
      </c>
      <c r="C121" s="62" t="s">
        <v>75</v>
      </c>
      <c r="D121" s="62" t="s">
        <v>26</v>
      </c>
      <c r="E121" s="62">
        <v>2</v>
      </c>
      <c r="F121" s="62">
        <v>1</v>
      </c>
      <c r="G121" s="99">
        <v>1390</v>
      </c>
      <c r="H121" s="99">
        <v>0</v>
      </c>
      <c r="I121" s="100">
        <v>2007</v>
      </c>
      <c r="J121" s="62">
        <v>0</v>
      </c>
      <c r="K121" s="62" t="s">
        <v>180</v>
      </c>
      <c r="L121" s="101">
        <v>322000</v>
      </c>
      <c r="M121" s="101">
        <v>308000</v>
      </c>
      <c r="N121" s="62">
        <v>52</v>
      </c>
      <c r="O121" s="102">
        <v>3.11</v>
      </c>
      <c r="P121" s="103">
        <f t="shared" si="8"/>
        <v>45901</v>
      </c>
      <c r="Q121" s="104">
        <f t="shared" si="9"/>
        <v>221.58273381294964</v>
      </c>
      <c r="R121" s="105">
        <f t="shared" si="10"/>
        <v>0.95652173913043481</v>
      </c>
      <c r="S121" s="101">
        <f t="shared" si="11"/>
        <v>-14000</v>
      </c>
      <c r="T121" s="104">
        <f t="shared" si="12"/>
        <v>9578.7999999999993</v>
      </c>
      <c r="U121" s="62">
        <f t="shared" si="13"/>
        <v>18</v>
      </c>
      <c r="V121" s="62" t="str">
        <f t="shared" si="14"/>
        <v>$300-400K</v>
      </c>
      <c r="W121" s="62" t="str">
        <f t="shared" si="15"/>
        <v/>
      </c>
      <c r="X121" s="62"/>
    </row>
    <row r="122" spans="1:24" x14ac:dyDescent="0.35">
      <c r="A122" s="62">
        <v>10227</v>
      </c>
      <c r="B122" s="98">
        <v>45928</v>
      </c>
      <c r="C122" s="62" t="s">
        <v>75</v>
      </c>
      <c r="D122" s="62" t="s">
        <v>27</v>
      </c>
      <c r="E122" s="62">
        <v>3</v>
      </c>
      <c r="F122" s="62">
        <v>2.5</v>
      </c>
      <c r="G122" s="99">
        <v>1650</v>
      </c>
      <c r="H122" s="99">
        <v>6120</v>
      </c>
      <c r="I122" s="100"/>
      <c r="J122" s="62">
        <v>1</v>
      </c>
      <c r="K122" s="62" t="s">
        <v>178</v>
      </c>
      <c r="L122" s="101">
        <v>504000</v>
      </c>
      <c r="M122" s="101">
        <v>474000</v>
      </c>
      <c r="N122" s="62">
        <v>57</v>
      </c>
      <c r="O122" s="102">
        <v>2.78</v>
      </c>
      <c r="P122" s="103">
        <f t="shared" si="8"/>
        <v>45901</v>
      </c>
      <c r="Q122" s="104">
        <f t="shared" si="9"/>
        <v>287.27272727272725</v>
      </c>
      <c r="R122" s="105">
        <f t="shared" si="10"/>
        <v>0.94047619047619047</v>
      </c>
      <c r="S122" s="101">
        <f t="shared" si="11"/>
        <v>-30000</v>
      </c>
      <c r="T122" s="104">
        <f t="shared" si="12"/>
        <v>13177.2</v>
      </c>
      <c r="U122" s="62" t="str">
        <f t="shared" si="13"/>
        <v/>
      </c>
      <c r="V122" s="62" t="str">
        <f t="shared" si="14"/>
        <v>$400-500K</v>
      </c>
      <c r="W122" s="62" t="str">
        <f t="shared" si="15"/>
        <v/>
      </c>
      <c r="X122" s="62" t="s">
        <v>459</v>
      </c>
    </row>
    <row r="123" spans="1:24" x14ac:dyDescent="0.35">
      <c r="A123" s="62">
        <v>10201</v>
      </c>
      <c r="B123" s="98">
        <v>45930</v>
      </c>
      <c r="C123" s="62" t="s">
        <v>73</v>
      </c>
      <c r="D123" s="62" t="s">
        <v>26</v>
      </c>
      <c r="E123" s="62">
        <v>2</v>
      </c>
      <c r="F123" s="62">
        <v>1.5</v>
      </c>
      <c r="G123" s="99">
        <v>1720</v>
      </c>
      <c r="H123" s="99">
        <v>0</v>
      </c>
      <c r="I123" s="100">
        <v>1990</v>
      </c>
      <c r="J123" s="62">
        <v>0</v>
      </c>
      <c r="K123" s="62" t="s">
        <v>180</v>
      </c>
      <c r="L123" s="101">
        <v>447000</v>
      </c>
      <c r="M123" s="101">
        <v>434000</v>
      </c>
      <c r="N123" s="62">
        <v>53</v>
      </c>
      <c r="O123" s="102">
        <v>3.22</v>
      </c>
      <c r="P123" s="103">
        <f t="shared" si="8"/>
        <v>45901</v>
      </c>
      <c r="Q123" s="104">
        <f t="shared" si="9"/>
        <v>252.32558139534885</v>
      </c>
      <c r="R123" s="105">
        <f t="shared" si="10"/>
        <v>0.970917225950783</v>
      </c>
      <c r="S123" s="101">
        <f t="shared" si="11"/>
        <v>-13000</v>
      </c>
      <c r="T123" s="104">
        <f t="shared" si="12"/>
        <v>13974.8</v>
      </c>
      <c r="U123" s="62">
        <f t="shared" si="13"/>
        <v>35</v>
      </c>
      <c r="V123" s="62" t="str">
        <f t="shared" si="14"/>
        <v>$400-500K</v>
      </c>
      <c r="W123" s="62" t="str">
        <f t="shared" si="15"/>
        <v/>
      </c>
      <c r="X123" s="62"/>
    </row>
    <row r="124" spans="1:24" x14ac:dyDescent="0.35">
      <c r="A124" s="62">
        <v>10017</v>
      </c>
      <c r="B124" s="98">
        <v>45931</v>
      </c>
      <c r="C124" s="62" t="s">
        <v>74</v>
      </c>
      <c r="D124" s="62" t="s">
        <v>27</v>
      </c>
      <c r="E124" s="62">
        <v>3</v>
      </c>
      <c r="F124" s="62">
        <v>2</v>
      </c>
      <c r="G124" s="99">
        <v>2100</v>
      </c>
      <c r="H124" s="99">
        <v>5140</v>
      </c>
      <c r="I124" s="100">
        <v>1997</v>
      </c>
      <c r="J124" s="62">
        <v>2</v>
      </c>
      <c r="K124" s="62" t="s">
        <v>178</v>
      </c>
      <c r="L124" s="101">
        <v>433000</v>
      </c>
      <c r="M124" s="101">
        <v>422000</v>
      </c>
      <c r="N124" s="62">
        <v>52</v>
      </c>
      <c r="O124" s="102">
        <v>3.27</v>
      </c>
      <c r="P124" s="103">
        <f t="shared" si="8"/>
        <v>45931</v>
      </c>
      <c r="Q124" s="104">
        <f t="shared" si="9"/>
        <v>200.95238095238096</v>
      </c>
      <c r="R124" s="105">
        <f t="shared" si="10"/>
        <v>0.97459584295612012</v>
      </c>
      <c r="S124" s="101">
        <f t="shared" si="11"/>
        <v>-11000</v>
      </c>
      <c r="T124" s="104">
        <f t="shared" si="12"/>
        <v>13799.4</v>
      </c>
      <c r="U124" s="62">
        <f t="shared" si="13"/>
        <v>28</v>
      </c>
      <c r="V124" s="62" t="str">
        <f t="shared" si="14"/>
        <v>$400-500K</v>
      </c>
      <c r="W124" s="62" t="str">
        <f t="shared" si="15"/>
        <v/>
      </c>
      <c r="X124" s="62"/>
    </row>
    <row r="125" spans="1:24" x14ac:dyDescent="0.35">
      <c r="A125" s="62">
        <v>10169</v>
      </c>
      <c r="B125" s="98">
        <v>45934</v>
      </c>
      <c r="C125" s="62" t="s">
        <v>76</v>
      </c>
      <c r="D125" s="62" t="s">
        <v>27</v>
      </c>
      <c r="E125" s="62">
        <v>5</v>
      </c>
      <c r="F125" s="62">
        <v>4.5</v>
      </c>
      <c r="G125" s="99">
        <v>2660</v>
      </c>
      <c r="H125" s="99">
        <v>6780</v>
      </c>
      <c r="I125" s="100">
        <v>1990</v>
      </c>
      <c r="J125" s="62">
        <v>1</v>
      </c>
      <c r="K125" s="62" t="s">
        <v>179</v>
      </c>
      <c r="L125" s="101">
        <v>580000</v>
      </c>
      <c r="M125" s="101">
        <v>568000</v>
      </c>
      <c r="N125" s="62">
        <v>32</v>
      </c>
      <c r="O125" s="102">
        <v>2.4500000000000002</v>
      </c>
      <c r="P125" s="103">
        <f t="shared" si="8"/>
        <v>45931</v>
      </c>
      <c r="Q125" s="104">
        <f t="shared" si="9"/>
        <v>213.53383458646616</v>
      </c>
      <c r="R125" s="105">
        <f t="shared" si="10"/>
        <v>0.97931034482758617</v>
      </c>
      <c r="S125" s="101">
        <f t="shared" si="11"/>
        <v>-12000</v>
      </c>
      <c r="T125" s="104">
        <f t="shared" si="12"/>
        <v>13916</v>
      </c>
      <c r="U125" s="62">
        <f t="shared" si="13"/>
        <v>35</v>
      </c>
      <c r="V125" s="62" t="str">
        <f t="shared" si="14"/>
        <v>$500-600K</v>
      </c>
      <c r="W125" s="62" t="str">
        <f t="shared" si="15"/>
        <v/>
      </c>
      <c r="X125" s="62" t="s">
        <v>431</v>
      </c>
    </row>
    <row r="126" spans="1:24" x14ac:dyDescent="0.35">
      <c r="A126" s="62">
        <v>10115</v>
      </c>
      <c r="B126" s="98">
        <v>45936</v>
      </c>
      <c r="C126" s="62" t="s">
        <v>75</v>
      </c>
      <c r="D126" s="62" t="s">
        <v>28</v>
      </c>
      <c r="E126" s="62">
        <v>4</v>
      </c>
      <c r="F126" s="62">
        <v>3</v>
      </c>
      <c r="G126" s="99">
        <v>1920</v>
      </c>
      <c r="H126" s="99">
        <v>2030</v>
      </c>
      <c r="I126" s="100">
        <v>2019</v>
      </c>
      <c r="J126" s="62">
        <v>2</v>
      </c>
      <c r="K126" s="62" t="s">
        <v>178</v>
      </c>
      <c r="L126" s="101">
        <v>526000</v>
      </c>
      <c r="M126" s="101">
        <v>525000</v>
      </c>
      <c r="N126" s="62">
        <v>47</v>
      </c>
      <c r="O126" s="102">
        <v>3</v>
      </c>
      <c r="P126" s="103">
        <f t="shared" si="8"/>
        <v>45931</v>
      </c>
      <c r="Q126" s="104">
        <f t="shared" si="9"/>
        <v>273.4375</v>
      </c>
      <c r="R126" s="105">
        <f t="shared" si="10"/>
        <v>0.99809885931558939</v>
      </c>
      <c r="S126" s="101">
        <f t="shared" si="11"/>
        <v>-1000</v>
      </c>
      <c r="T126" s="104">
        <f t="shared" si="12"/>
        <v>15750</v>
      </c>
      <c r="U126" s="62">
        <f t="shared" si="13"/>
        <v>6</v>
      </c>
      <c r="V126" s="62" t="str">
        <f t="shared" si="14"/>
        <v>$500-600K</v>
      </c>
      <c r="W126" s="62" t="str">
        <f t="shared" si="15"/>
        <v/>
      </c>
      <c r="X126" s="62" t="s">
        <v>460</v>
      </c>
    </row>
    <row r="127" spans="1:24" x14ac:dyDescent="0.35">
      <c r="A127" s="62">
        <v>10187</v>
      </c>
      <c r="B127" s="98">
        <v>45937</v>
      </c>
      <c r="C127" s="62" t="s">
        <v>76</v>
      </c>
      <c r="D127" s="62" t="s">
        <v>27</v>
      </c>
      <c r="E127" s="62">
        <v>3</v>
      </c>
      <c r="F127" s="62">
        <v>1.5</v>
      </c>
      <c r="G127" s="99">
        <v>1720</v>
      </c>
      <c r="H127" s="99">
        <v>6010</v>
      </c>
      <c r="I127" s="100">
        <v>1982</v>
      </c>
      <c r="J127" s="62">
        <v>0</v>
      </c>
      <c r="K127" s="62" t="s">
        <v>179</v>
      </c>
      <c r="L127" s="101">
        <v>376000</v>
      </c>
      <c r="M127" s="101">
        <v>355000</v>
      </c>
      <c r="N127" s="62">
        <v>41</v>
      </c>
      <c r="O127" s="102">
        <v>3.05</v>
      </c>
      <c r="P127" s="103">
        <f t="shared" si="8"/>
        <v>45931</v>
      </c>
      <c r="Q127" s="104">
        <f t="shared" si="9"/>
        <v>206.3953488372093</v>
      </c>
      <c r="R127" s="105">
        <f t="shared" si="10"/>
        <v>0.94414893617021278</v>
      </c>
      <c r="S127" s="101">
        <f t="shared" si="11"/>
        <v>-21000</v>
      </c>
      <c r="T127" s="104">
        <f t="shared" si="12"/>
        <v>10827.5</v>
      </c>
      <c r="U127" s="62">
        <f t="shared" si="13"/>
        <v>43</v>
      </c>
      <c r="V127" s="62" t="str">
        <f t="shared" si="14"/>
        <v>$300-400K</v>
      </c>
      <c r="W127" s="62" t="str">
        <f t="shared" si="15"/>
        <v/>
      </c>
      <c r="X127" s="62"/>
    </row>
    <row r="128" spans="1:24" x14ac:dyDescent="0.35">
      <c r="A128" s="62">
        <v>10206</v>
      </c>
      <c r="B128" s="98">
        <v>45938</v>
      </c>
      <c r="C128" s="62" t="s">
        <v>76</v>
      </c>
      <c r="D128" s="62" t="s">
        <v>27</v>
      </c>
      <c r="E128" s="62">
        <v>3</v>
      </c>
      <c r="F128" s="62">
        <v>1</v>
      </c>
      <c r="G128" s="99">
        <v>1620</v>
      </c>
      <c r="H128" s="99">
        <v>7290</v>
      </c>
      <c r="I128" s="100">
        <v>2023</v>
      </c>
      <c r="J128" s="62">
        <v>2</v>
      </c>
      <c r="K128" s="62" t="s">
        <v>178</v>
      </c>
      <c r="L128" s="101">
        <v>423000</v>
      </c>
      <c r="M128" s="101">
        <v>435000</v>
      </c>
      <c r="N128" s="62">
        <v>59</v>
      </c>
      <c r="O128" s="102">
        <v>2.99</v>
      </c>
      <c r="P128" s="103">
        <f t="shared" si="8"/>
        <v>45931</v>
      </c>
      <c r="Q128" s="104">
        <f t="shared" si="9"/>
        <v>268.51851851851853</v>
      </c>
      <c r="R128" s="105">
        <f t="shared" si="10"/>
        <v>1.0283687943262412</v>
      </c>
      <c r="S128" s="101">
        <f t="shared" si="11"/>
        <v>12000</v>
      </c>
      <c r="T128" s="104">
        <f t="shared" si="12"/>
        <v>13006.5</v>
      </c>
      <c r="U128" s="62">
        <f t="shared" si="13"/>
        <v>2</v>
      </c>
      <c r="V128" s="62" t="str">
        <f t="shared" si="14"/>
        <v>$400-500K</v>
      </c>
      <c r="W128" s="62" t="str">
        <f t="shared" si="15"/>
        <v/>
      </c>
      <c r="X128" s="62" t="s">
        <v>431</v>
      </c>
    </row>
    <row r="129" spans="1:24" x14ac:dyDescent="0.35">
      <c r="A129" s="62">
        <v>10012</v>
      </c>
      <c r="B129" s="98">
        <v>45939</v>
      </c>
      <c r="C129" s="62" t="s">
        <v>72</v>
      </c>
      <c r="D129" s="62" t="s">
        <v>26</v>
      </c>
      <c r="E129" s="62">
        <v>1</v>
      </c>
      <c r="F129" s="62">
        <v>1</v>
      </c>
      <c r="G129" s="99">
        <v>1070</v>
      </c>
      <c r="H129" s="99">
        <v>0</v>
      </c>
      <c r="I129" s="100">
        <v>1958</v>
      </c>
      <c r="J129" s="62">
        <v>0</v>
      </c>
      <c r="K129" s="62" t="s">
        <v>182</v>
      </c>
      <c r="L129" s="101">
        <v>165000</v>
      </c>
      <c r="M129" s="101">
        <v>157000</v>
      </c>
      <c r="N129" s="62">
        <v>27</v>
      </c>
      <c r="O129" s="102"/>
      <c r="P129" s="103">
        <f t="shared" si="8"/>
        <v>45931</v>
      </c>
      <c r="Q129" s="104">
        <f t="shared" si="9"/>
        <v>146.72897196261681</v>
      </c>
      <c r="R129" s="105">
        <f t="shared" si="10"/>
        <v>0.95151515151515154</v>
      </c>
      <c r="S129" s="101">
        <f t="shared" si="11"/>
        <v>-8000</v>
      </c>
      <c r="T129" s="104" t="str">
        <f t="shared" si="12"/>
        <v/>
      </c>
      <c r="U129" s="62">
        <f t="shared" si="13"/>
        <v>67</v>
      </c>
      <c r="V129" s="62" t="str">
        <f t="shared" si="14"/>
        <v>Under $200K</v>
      </c>
      <c r="W129" s="62" t="str">
        <f t="shared" si="15"/>
        <v/>
      </c>
      <c r="X129" s="62" t="s">
        <v>461</v>
      </c>
    </row>
    <row r="130" spans="1:24" x14ac:dyDescent="0.35">
      <c r="A130" s="62">
        <v>10071</v>
      </c>
      <c r="B130" s="98">
        <v>45943</v>
      </c>
      <c r="C130" s="62" t="s">
        <v>75</v>
      </c>
      <c r="D130" s="62" t="s">
        <v>26</v>
      </c>
      <c r="E130" s="62">
        <v>1</v>
      </c>
      <c r="F130" s="62">
        <v>1.5</v>
      </c>
      <c r="G130" s="99">
        <v>970</v>
      </c>
      <c r="H130" s="99">
        <v>0</v>
      </c>
      <c r="I130" s="100">
        <v>2001</v>
      </c>
      <c r="J130" s="62">
        <v>1</v>
      </c>
      <c r="K130" s="62" t="s">
        <v>179</v>
      </c>
      <c r="L130" s="101">
        <v>261000</v>
      </c>
      <c r="M130" s="101">
        <v>254000</v>
      </c>
      <c r="N130" s="62">
        <v>93</v>
      </c>
      <c r="O130" s="102">
        <v>3.25</v>
      </c>
      <c r="P130" s="103">
        <f t="shared" ref="P130:P193" si="16">DATE(YEAR(B130),MONTH(B130),1)</f>
        <v>45931</v>
      </c>
      <c r="Q130" s="104">
        <f t="shared" ref="Q130:Q193" si="17">M130/G130</f>
        <v>261.85567010309279</v>
      </c>
      <c r="R130" s="105">
        <f t="shared" ref="R130:R193" si="18">M130/L130</f>
        <v>0.97318007662835249</v>
      </c>
      <c r="S130" s="101">
        <f t="shared" ref="S130:S193" si="19">M130-L130</f>
        <v>-7000</v>
      </c>
      <c r="T130" s="104">
        <f t="shared" ref="T130:T193" si="20">IF(O130="","",M130*O130/100)</f>
        <v>8255</v>
      </c>
      <c r="U130" s="62">
        <f t="shared" ref="U130:U193" si="21">IF(I130="","",YEAR(B130)-I130)</f>
        <v>24</v>
      </c>
      <c r="V130" s="62" t="str">
        <f t="shared" ref="V130:V193" si="22">LOOKUP(M130,bin_lo,bin_lbl)</f>
        <v>$200-300K</v>
      </c>
      <c r="W130" s="62" t="str">
        <f t="shared" ref="W130:W193" si="23">TRIM(IF(M130&gt;f_price_hi,"High price ","")&amp;IF(AND(N130&lt;&gt;"",N130&gt;f_dom_hi),"Long DOM ","")&amp;IF(OR(Q130&gt;f_psf_hi,Q130&lt;f_psf_lo),"$/sqft ",""))</f>
        <v/>
      </c>
      <c r="X130" s="62"/>
    </row>
    <row r="131" spans="1:24" x14ac:dyDescent="0.35">
      <c r="A131" s="62">
        <v>10195</v>
      </c>
      <c r="B131" s="98">
        <v>45943</v>
      </c>
      <c r="C131" s="62" t="s">
        <v>75</v>
      </c>
      <c r="D131" s="62" t="s">
        <v>27</v>
      </c>
      <c r="E131" s="62">
        <v>3</v>
      </c>
      <c r="F131" s="62">
        <v>3</v>
      </c>
      <c r="G131" s="99">
        <v>1700</v>
      </c>
      <c r="H131" s="99">
        <v>6330</v>
      </c>
      <c r="I131" s="100">
        <v>2017</v>
      </c>
      <c r="J131" s="62">
        <v>3</v>
      </c>
      <c r="K131" s="62" t="s">
        <v>179</v>
      </c>
      <c r="L131" s="101">
        <v>448000</v>
      </c>
      <c r="M131" s="101">
        <v>432000</v>
      </c>
      <c r="N131" s="62">
        <v>47</v>
      </c>
      <c r="O131" s="102">
        <v>3.02</v>
      </c>
      <c r="P131" s="103">
        <f t="shared" si="16"/>
        <v>45931</v>
      </c>
      <c r="Q131" s="104">
        <f t="shared" si="17"/>
        <v>254.11764705882354</v>
      </c>
      <c r="R131" s="105">
        <f t="shared" si="18"/>
        <v>0.9642857142857143</v>
      </c>
      <c r="S131" s="101">
        <f t="shared" si="19"/>
        <v>-16000</v>
      </c>
      <c r="T131" s="104">
        <f t="shared" si="20"/>
        <v>13046.4</v>
      </c>
      <c r="U131" s="62">
        <f t="shared" si="21"/>
        <v>8</v>
      </c>
      <c r="V131" s="62" t="str">
        <f t="shared" si="22"/>
        <v>$400-500K</v>
      </c>
      <c r="W131" s="62" t="str">
        <f t="shared" si="23"/>
        <v/>
      </c>
      <c r="X131" s="62"/>
    </row>
    <row r="132" spans="1:24" x14ac:dyDescent="0.35">
      <c r="A132" s="62">
        <v>10243</v>
      </c>
      <c r="B132" s="98">
        <v>45943</v>
      </c>
      <c r="C132" s="62" t="s">
        <v>76</v>
      </c>
      <c r="D132" s="62" t="s">
        <v>28</v>
      </c>
      <c r="E132" s="62">
        <v>3</v>
      </c>
      <c r="F132" s="62">
        <v>1.5</v>
      </c>
      <c r="G132" s="99">
        <v>1760</v>
      </c>
      <c r="H132" s="99">
        <v>1540</v>
      </c>
      <c r="I132" s="100">
        <v>1963</v>
      </c>
      <c r="J132" s="62">
        <v>2</v>
      </c>
      <c r="K132" s="62" t="s">
        <v>178</v>
      </c>
      <c r="L132" s="101">
        <v>402000</v>
      </c>
      <c r="M132" s="101">
        <v>409000</v>
      </c>
      <c r="N132" s="62">
        <v>23</v>
      </c>
      <c r="O132" s="102">
        <v>3.26</v>
      </c>
      <c r="P132" s="103">
        <f t="shared" si="16"/>
        <v>45931</v>
      </c>
      <c r="Q132" s="104">
        <f t="shared" si="17"/>
        <v>232.38636363636363</v>
      </c>
      <c r="R132" s="105">
        <f t="shared" si="18"/>
        <v>1.0174129353233832</v>
      </c>
      <c r="S132" s="101">
        <f t="shared" si="19"/>
        <v>7000</v>
      </c>
      <c r="T132" s="104">
        <f t="shared" si="20"/>
        <v>13333.4</v>
      </c>
      <c r="U132" s="62">
        <f t="shared" si="21"/>
        <v>62</v>
      </c>
      <c r="V132" s="62" t="str">
        <f t="shared" si="22"/>
        <v>$400-500K</v>
      </c>
      <c r="W132" s="62" t="str">
        <f t="shared" si="23"/>
        <v/>
      </c>
      <c r="X132" s="62" t="s">
        <v>431</v>
      </c>
    </row>
    <row r="133" spans="1:24" x14ac:dyDescent="0.35">
      <c r="A133" s="62">
        <v>10055</v>
      </c>
      <c r="B133" s="98">
        <v>45944</v>
      </c>
      <c r="C133" s="62" t="s">
        <v>73</v>
      </c>
      <c r="D133" s="62" t="s">
        <v>26</v>
      </c>
      <c r="E133" s="62">
        <v>1</v>
      </c>
      <c r="F133" s="62">
        <v>1</v>
      </c>
      <c r="G133" s="99">
        <v>590</v>
      </c>
      <c r="H133" s="99">
        <v>0</v>
      </c>
      <c r="I133" s="100">
        <v>1941</v>
      </c>
      <c r="J133" s="62">
        <v>0</v>
      </c>
      <c r="K133" s="62" t="s">
        <v>179</v>
      </c>
      <c r="L133" s="101">
        <v>188000</v>
      </c>
      <c r="M133" s="101">
        <v>199000</v>
      </c>
      <c r="N133" s="62">
        <v>50</v>
      </c>
      <c r="O133" s="102">
        <v>3.18</v>
      </c>
      <c r="P133" s="103">
        <f t="shared" si="16"/>
        <v>45931</v>
      </c>
      <c r="Q133" s="104">
        <f t="shared" si="17"/>
        <v>337.28813559322032</v>
      </c>
      <c r="R133" s="105">
        <f t="shared" si="18"/>
        <v>1.0585106382978724</v>
      </c>
      <c r="S133" s="101">
        <f t="shared" si="19"/>
        <v>11000</v>
      </c>
      <c r="T133" s="104">
        <f t="shared" si="20"/>
        <v>6328.2</v>
      </c>
      <c r="U133" s="62">
        <f t="shared" si="21"/>
        <v>84</v>
      </c>
      <c r="V133" s="62" t="str">
        <f t="shared" si="22"/>
        <v>Under $200K</v>
      </c>
      <c r="W133" s="62" t="str">
        <f t="shared" si="23"/>
        <v/>
      </c>
      <c r="X133" s="62"/>
    </row>
    <row r="134" spans="1:24" x14ac:dyDescent="0.35">
      <c r="A134" s="62">
        <v>10215</v>
      </c>
      <c r="B134" s="98">
        <v>45947</v>
      </c>
      <c r="C134" s="62" t="s">
        <v>73</v>
      </c>
      <c r="D134" s="62" t="s">
        <v>27</v>
      </c>
      <c r="E134" s="62">
        <v>4</v>
      </c>
      <c r="F134" s="62">
        <v>3</v>
      </c>
      <c r="G134" s="99">
        <v>2130</v>
      </c>
      <c r="H134" s="99">
        <v>6230</v>
      </c>
      <c r="I134" s="100">
        <v>1996</v>
      </c>
      <c r="J134" s="62">
        <v>2</v>
      </c>
      <c r="K134" s="62" t="s">
        <v>179</v>
      </c>
      <c r="L134" s="101">
        <v>670000</v>
      </c>
      <c r="M134" s="101">
        <v>663000</v>
      </c>
      <c r="N134" s="62">
        <v>40</v>
      </c>
      <c r="O134" s="102">
        <v>3.27</v>
      </c>
      <c r="P134" s="103">
        <f t="shared" si="16"/>
        <v>45931</v>
      </c>
      <c r="Q134" s="104">
        <f t="shared" si="17"/>
        <v>311.26760563380282</v>
      </c>
      <c r="R134" s="105">
        <f t="shared" si="18"/>
        <v>0.9895522388059701</v>
      </c>
      <c r="S134" s="101">
        <f t="shared" si="19"/>
        <v>-7000</v>
      </c>
      <c r="T134" s="104">
        <f t="shared" si="20"/>
        <v>21680.1</v>
      </c>
      <c r="U134" s="62">
        <f t="shared" si="21"/>
        <v>29</v>
      </c>
      <c r="V134" s="62" t="str">
        <f t="shared" si="22"/>
        <v>$600-800K</v>
      </c>
      <c r="W134" s="62" t="str">
        <f t="shared" si="23"/>
        <v/>
      </c>
      <c r="X134" s="62"/>
    </row>
    <row r="135" spans="1:24" x14ac:dyDescent="0.35">
      <c r="A135" s="62">
        <v>10024</v>
      </c>
      <c r="B135" s="98">
        <v>45951</v>
      </c>
      <c r="C135" s="62" t="s">
        <v>72</v>
      </c>
      <c r="D135" s="62" t="s">
        <v>27</v>
      </c>
      <c r="E135" s="62">
        <v>4</v>
      </c>
      <c r="F135" s="62">
        <v>2.5</v>
      </c>
      <c r="G135" s="99">
        <v>2230</v>
      </c>
      <c r="H135" s="99">
        <v>7630</v>
      </c>
      <c r="I135" s="100">
        <v>2015</v>
      </c>
      <c r="J135" s="62">
        <v>2</v>
      </c>
      <c r="K135" s="62" t="s">
        <v>178</v>
      </c>
      <c r="L135" s="101">
        <v>435000</v>
      </c>
      <c r="M135" s="101">
        <v>435000</v>
      </c>
      <c r="N135" s="62">
        <v>36</v>
      </c>
      <c r="O135" s="102">
        <v>2.73</v>
      </c>
      <c r="P135" s="103">
        <f t="shared" si="16"/>
        <v>45931</v>
      </c>
      <c r="Q135" s="104">
        <f t="shared" si="17"/>
        <v>195.06726457399103</v>
      </c>
      <c r="R135" s="105">
        <f t="shared" si="18"/>
        <v>1</v>
      </c>
      <c r="S135" s="101">
        <f t="shared" si="19"/>
        <v>0</v>
      </c>
      <c r="T135" s="104">
        <f t="shared" si="20"/>
        <v>11875.5</v>
      </c>
      <c r="U135" s="62">
        <f t="shared" si="21"/>
        <v>10</v>
      </c>
      <c r="V135" s="62" t="str">
        <f t="shared" si="22"/>
        <v>$400-500K</v>
      </c>
      <c r="W135" s="62" t="str">
        <f t="shared" si="23"/>
        <v/>
      </c>
      <c r="X135" s="62" t="s">
        <v>433</v>
      </c>
    </row>
    <row r="136" spans="1:24" x14ac:dyDescent="0.35">
      <c r="A136" s="62">
        <v>10161</v>
      </c>
      <c r="B136" s="98">
        <v>45958</v>
      </c>
      <c r="C136" s="62" t="s">
        <v>75</v>
      </c>
      <c r="D136" s="62" t="s">
        <v>28</v>
      </c>
      <c r="E136" s="62">
        <v>2</v>
      </c>
      <c r="F136" s="62">
        <v>2</v>
      </c>
      <c r="G136" s="99">
        <v>1410</v>
      </c>
      <c r="H136" s="99">
        <v>1370</v>
      </c>
      <c r="I136" s="100">
        <v>2013</v>
      </c>
      <c r="J136" s="62">
        <v>2</v>
      </c>
      <c r="K136" s="62" t="s">
        <v>179</v>
      </c>
      <c r="L136" s="101">
        <v>371000</v>
      </c>
      <c r="M136" s="101">
        <v>368000</v>
      </c>
      <c r="N136" s="62">
        <v>44</v>
      </c>
      <c r="O136" s="102">
        <v>3.07</v>
      </c>
      <c r="P136" s="103">
        <f t="shared" si="16"/>
        <v>45931</v>
      </c>
      <c r="Q136" s="104">
        <f t="shared" si="17"/>
        <v>260.99290780141843</v>
      </c>
      <c r="R136" s="105">
        <f t="shared" si="18"/>
        <v>0.99191374663072773</v>
      </c>
      <c r="S136" s="101">
        <f t="shared" si="19"/>
        <v>-3000</v>
      </c>
      <c r="T136" s="104">
        <f t="shared" si="20"/>
        <v>11297.6</v>
      </c>
      <c r="U136" s="62">
        <f t="shared" si="21"/>
        <v>12</v>
      </c>
      <c r="V136" s="62" t="str">
        <f t="shared" si="22"/>
        <v>$300-400K</v>
      </c>
      <c r="W136" s="62" t="str">
        <f t="shared" si="23"/>
        <v/>
      </c>
      <c r="X136" s="62"/>
    </row>
    <row r="137" spans="1:24" x14ac:dyDescent="0.35">
      <c r="A137" s="62">
        <v>10053</v>
      </c>
      <c r="B137" s="98">
        <v>45962</v>
      </c>
      <c r="C137" s="62" t="s">
        <v>73</v>
      </c>
      <c r="D137" s="62" t="s">
        <v>26</v>
      </c>
      <c r="E137" s="62">
        <v>3</v>
      </c>
      <c r="F137" s="62">
        <v>2</v>
      </c>
      <c r="G137" s="99">
        <v>1890</v>
      </c>
      <c r="H137" s="99">
        <v>0</v>
      </c>
      <c r="I137" s="100">
        <v>1971</v>
      </c>
      <c r="J137" s="62">
        <v>1</v>
      </c>
      <c r="K137" s="62" t="s">
        <v>178</v>
      </c>
      <c r="L137" s="101">
        <v>539000</v>
      </c>
      <c r="M137" s="101">
        <v>552000</v>
      </c>
      <c r="N137" s="62">
        <v>41</v>
      </c>
      <c r="O137" s="102">
        <v>2.95</v>
      </c>
      <c r="P137" s="103">
        <f t="shared" si="16"/>
        <v>45962</v>
      </c>
      <c r="Q137" s="104">
        <f t="shared" si="17"/>
        <v>292.06349206349205</v>
      </c>
      <c r="R137" s="105">
        <f t="shared" si="18"/>
        <v>1.0241187384044528</v>
      </c>
      <c r="S137" s="101">
        <f t="shared" si="19"/>
        <v>13000</v>
      </c>
      <c r="T137" s="104">
        <f t="shared" si="20"/>
        <v>16284</v>
      </c>
      <c r="U137" s="62">
        <f t="shared" si="21"/>
        <v>54</v>
      </c>
      <c r="V137" s="62" t="str">
        <f t="shared" si="22"/>
        <v>$500-600K</v>
      </c>
      <c r="W137" s="62" t="str">
        <f t="shared" si="23"/>
        <v/>
      </c>
      <c r="X137" s="62"/>
    </row>
    <row r="138" spans="1:24" x14ac:dyDescent="0.35">
      <c r="A138" s="62">
        <v>10184</v>
      </c>
      <c r="B138" s="98">
        <v>45962</v>
      </c>
      <c r="C138" s="62" t="s">
        <v>76</v>
      </c>
      <c r="D138" s="62" t="s">
        <v>26</v>
      </c>
      <c r="E138" s="62">
        <v>2</v>
      </c>
      <c r="F138" s="62">
        <v>1</v>
      </c>
      <c r="G138" s="99">
        <v>1420</v>
      </c>
      <c r="H138" s="99">
        <v>0</v>
      </c>
      <c r="I138" s="100">
        <v>1971</v>
      </c>
      <c r="J138" s="62">
        <v>0</v>
      </c>
      <c r="K138" s="62" t="s">
        <v>179</v>
      </c>
      <c r="L138" s="101">
        <v>275000</v>
      </c>
      <c r="M138" s="101">
        <v>259000</v>
      </c>
      <c r="N138" s="62"/>
      <c r="O138" s="102">
        <v>3.06</v>
      </c>
      <c r="P138" s="103">
        <f t="shared" si="16"/>
        <v>45962</v>
      </c>
      <c r="Q138" s="104">
        <f t="shared" si="17"/>
        <v>182.3943661971831</v>
      </c>
      <c r="R138" s="105">
        <f t="shared" si="18"/>
        <v>0.94181818181818178</v>
      </c>
      <c r="S138" s="101">
        <f t="shared" si="19"/>
        <v>-16000</v>
      </c>
      <c r="T138" s="104">
        <f t="shared" si="20"/>
        <v>7925.4</v>
      </c>
      <c r="U138" s="62">
        <f t="shared" si="21"/>
        <v>54</v>
      </c>
      <c r="V138" s="62" t="str">
        <f t="shared" si="22"/>
        <v>$200-300K</v>
      </c>
      <c r="W138" s="62" t="str">
        <f t="shared" si="23"/>
        <v/>
      </c>
      <c r="X138" s="62" t="s">
        <v>462</v>
      </c>
    </row>
    <row r="139" spans="1:24" x14ac:dyDescent="0.35">
      <c r="A139" s="62">
        <v>10085</v>
      </c>
      <c r="B139" s="98">
        <v>45966</v>
      </c>
      <c r="C139" s="62" t="s">
        <v>75</v>
      </c>
      <c r="D139" s="62" t="s">
        <v>27</v>
      </c>
      <c r="E139" s="62">
        <v>5</v>
      </c>
      <c r="F139" s="62">
        <v>3</v>
      </c>
      <c r="G139" s="99">
        <v>2830</v>
      </c>
      <c r="H139" s="99">
        <v>6390</v>
      </c>
      <c r="I139" s="100">
        <v>1984</v>
      </c>
      <c r="J139" s="62">
        <v>1</v>
      </c>
      <c r="K139" s="62" t="s">
        <v>180</v>
      </c>
      <c r="L139" s="101">
        <v>644000</v>
      </c>
      <c r="M139" s="101">
        <v>637000</v>
      </c>
      <c r="N139" s="62">
        <v>69</v>
      </c>
      <c r="O139" s="102">
        <v>3.21</v>
      </c>
      <c r="P139" s="103">
        <f t="shared" si="16"/>
        <v>45962</v>
      </c>
      <c r="Q139" s="104">
        <f t="shared" si="17"/>
        <v>225.08833922261485</v>
      </c>
      <c r="R139" s="105">
        <f t="shared" si="18"/>
        <v>0.98913043478260865</v>
      </c>
      <c r="S139" s="101">
        <f t="shared" si="19"/>
        <v>-7000</v>
      </c>
      <c r="T139" s="104">
        <f t="shared" si="20"/>
        <v>20447.7</v>
      </c>
      <c r="U139" s="62">
        <f t="shared" si="21"/>
        <v>41</v>
      </c>
      <c r="V139" s="62" t="str">
        <f t="shared" si="22"/>
        <v>$600-800K</v>
      </c>
      <c r="W139" s="62" t="str">
        <f t="shared" si="23"/>
        <v/>
      </c>
      <c r="X139" s="62" t="s">
        <v>463</v>
      </c>
    </row>
    <row r="140" spans="1:24" x14ac:dyDescent="0.35">
      <c r="A140" s="62">
        <v>10118</v>
      </c>
      <c r="B140" s="98">
        <v>45969</v>
      </c>
      <c r="C140" s="62" t="s">
        <v>73</v>
      </c>
      <c r="D140" s="62" t="s">
        <v>26</v>
      </c>
      <c r="E140" s="62">
        <v>2</v>
      </c>
      <c r="F140" s="62">
        <v>2.5</v>
      </c>
      <c r="G140" s="99">
        <v>1480</v>
      </c>
      <c r="H140" s="99">
        <v>0</v>
      </c>
      <c r="I140" s="100">
        <v>1968</v>
      </c>
      <c r="J140" s="62">
        <v>0</v>
      </c>
      <c r="K140" s="62" t="s">
        <v>179</v>
      </c>
      <c r="L140" s="101">
        <v>385000</v>
      </c>
      <c r="M140" s="101">
        <v>395000</v>
      </c>
      <c r="N140" s="62">
        <v>48</v>
      </c>
      <c r="O140" s="102">
        <v>2.75</v>
      </c>
      <c r="P140" s="103">
        <f t="shared" si="16"/>
        <v>45962</v>
      </c>
      <c r="Q140" s="104">
        <f t="shared" si="17"/>
        <v>266.89189189189187</v>
      </c>
      <c r="R140" s="105">
        <f t="shared" si="18"/>
        <v>1.025974025974026</v>
      </c>
      <c r="S140" s="101">
        <f t="shared" si="19"/>
        <v>10000</v>
      </c>
      <c r="T140" s="104">
        <f t="shared" si="20"/>
        <v>10862.5</v>
      </c>
      <c r="U140" s="62">
        <f t="shared" si="21"/>
        <v>57</v>
      </c>
      <c r="V140" s="62" t="str">
        <f t="shared" si="22"/>
        <v>$300-400K</v>
      </c>
      <c r="W140" s="62" t="str">
        <f t="shared" si="23"/>
        <v/>
      </c>
      <c r="X140" s="62" t="s">
        <v>441</v>
      </c>
    </row>
    <row r="141" spans="1:24" x14ac:dyDescent="0.35">
      <c r="A141" s="62">
        <v>10246</v>
      </c>
      <c r="B141" s="98">
        <v>45969</v>
      </c>
      <c r="C141" s="62" t="s">
        <v>72</v>
      </c>
      <c r="D141" s="62" t="s">
        <v>27</v>
      </c>
      <c r="E141" s="62">
        <v>4</v>
      </c>
      <c r="F141" s="62">
        <v>2.5</v>
      </c>
      <c r="G141" s="99">
        <v>2490</v>
      </c>
      <c r="H141" s="99">
        <v>8540</v>
      </c>
      <c r="I141" s="100"/>
      <c r="J141" s="62">
        <v>1</v>
      </c>
      <c r="K141" s="62" t="s">
        <v>180</v>
      </c>
      <c r="L141" s="101">
        <v>343000</v>
      </c>
      <c r="M141" s="101">
        <v>327000</v>
      </c>
      <c r="N141" s="62">
        <v>57</v>
      </c>
      <c r="O141" s="102">
        <v>2.85</v>
      </c>
      <c r="P141" s="103">
        <f t="shared" si="16"/>
        <v>45962</v>
      </c>
      <c r="Q141" s="104">
        <f t="shared" si="17"/>
        <v>131.32530120481928</v>
      </c>
      <c r="R141" s="105">
        <f t="shared" si="18"/>
        <v>0.95335276967930027</v>
      </c>
      <c r="S141" s="101">
        <f t="shared" si="19"/>
        <v>-16000</v>
      </c>
      <c r="T141" s="104">
        <f t="shared" si="20"/>
        <v>9319.5</v>
      </c>
      <c r="U141" s="62" t="str">
        <f t="shared" si="21"/>
        <v/>
      </c>
      <c r="V141" s="62" t="str">
        <f t="shared" si="22"/>
        <v>$300-400K</v>
      </c>
      <c r="W141" s="62" t="str">
        <f t="shared" si="23"/>
        <v/>
      </c>
      <c r="X141" s="62" t="s">
        <v>434</v>
      </c>
    </row>
    <row r="142" spans="1:24" x14ac:dyDescent="0.35">
      <c r="A142" s="62">
        <v>10137</v>
      </c>
      <c r="B142" s="98">
        <v>45973</v>
      </c>
      <c r="C142" s="62" t="s">
        <v>72</v>
      </c>
      <c r="D142" s="62" t="s">
        <v>28</v>
      </c>
      <c r="E142" s="62">
        <v>3</v>
      </c>
      <c r="F142" s="62">
        <v>2.5</v>
      </c>
      <c r="G142" s="99">
        <v>1790</v>
      </c>
      <c r="H142" s="99">
        <v>2410</v>
      </c>
      <c r="I142" s="100">
        <v>2010</v>
      </c>
      <c r="J142" s="62">
        <v>2</v>
      </c>
      <c r="K142" s="62" t="s">
        <v>181</v>
      </c>
      <c r="L142" s="101">
        <v>281000</v>
      </c>
      <c r="M142" s="101">
        <v>274000</v>
      </c>
      <c r="N142" s="62">
        <v>101</v>
      </c>
      <c r="O142" s="102">
        <v>3.29</v>
      </c>
      <c r="P142" s="103">
        <f t="shared" si="16"/>
        <v>45962</v>
      </c>
      <c r="Q142" s="104">
        <f t="shared" si="17"/>
        <v>153.07262569832403</v>
      </c>
      <c r="R142" s="105">
        <f t="shared" si="18"/>
        <v>0.97508896797153022</v>
      </c>
      <c r="S142" s="101">
        <f t="shared" si="19"/>
        <v>-7000</v>
      </c>
      <c r="T142" s="104">
        <f t="shared" si="20"/>
        <v>9014.6</v>
      </c>
      <c r="U142" s="62">
        <f t="shared" si="21"/>
        <v>15</v>
      </c>
      <c r="V142" s="62" t="str">
        <f t="shared" si="22"/>
        <v>$200-300K</v>
      </c>
      <c r="W142" s="62" t="str">
        <f t="shared" si="23"/>
        <v/>
      </c>
      <c r="X142" s="62"/>
    </row>
    <row r="143" spans="1:24" x14ac:dyDescent="0.35">
      <c r="A143" s="62">
        <v>10191</v>
      </c>
      <c r="B143" s="98">
        <v>45975</v>
      </c>
      <c r="C143" s="62" t="s">
        <v>72</v>
      </c>
      <c r="D143" s="62" t="s">
        <v>26</v>
      </c>
      <c r="E143" s="62">
        <v>1</v>
      </c>
      <c r="F143" s="62">
        <v>1</v>
      </c>
      <c r="G143" s="99">
        <v>790</v>
      </c>
      <c r="H143" s="99">
        <v>0</v>
      </c>
      <c r="I143" s="100">
        <v>1961</v>
      </c>
      <c r="J143" s="62">
        <v>0</v>
      </c>
      <c r="K143" s="62" t="s">
        <v>179</v>
      </c>
      <c r="L143" s="101">
        <v>170000</v>
      </c>
      <c r="M143" s="101">
        <v>146000</v>
      </c>
      <c r="N143" s="62">
        <v>412</v>
      </c>
      <c r="O143" s="102">
        <v>3.05</v>
      </c>
      <c r="P143" s="103">
        <f t="shared" si="16"/>
        <v>45962</v>
      </c>
      <c r="Q143" s="104">
        <f t="shared" si="17"/>
        <v>184.81012658227849</v>
      </c>
      <c r="R143" s="105">
        <f t="shared" si="18"/>
        <v>0.85882352941176465</v>
      </c>
      <c r="S143" s="101">
        <f t="shared" si="19"/>
        <v>-24000</v>
      </c>
      <c r="T143" s="104">
        <f t="shared" si="20"/>
        <v>4453</v>
      </c>
      <c r="U143" s="62">
        <f t="shared" si="21"/>
        <v>64</v>
      </c>
      <c r="V143" s="62" t="str">
        <f t="shared" si="22"/>
        <v>Under $200K</v>
      </c>
      <c r="W143" s="62" t="str">
        <f t="shared" si="23"/>
        <v>Long DOM</v>
      </c>
      <c r="X143" s="62" t="s">
        <v>441</v>
      </c>
    </row>
    <row r="144" spans="1:24" x14ac:dyDescent="0.35">
      <c r="A144" s="62">
        <v>10092</v>
      </c>
      <c r="B144" s="98">
        <v>45976</v>
      </c>
      <c r="C144" s="62" t="s">
        <v>73</v>
      </c>
      <c r="D144" s="62" t="s">
        <v>26</v>
      </c>
      <c r="E144" s="62">
        <v>2</v>
      </c>
      <c r="F144" s="62">
        <v>2</v>
      </c>
      <c r="G144" s="99">
        <v>1190</v>
      </c>
      <c r="H144" s="99">
        <v>0</v>
      </c>
      <c r="I144" s="100">
        <v>1950</v>
      </c>
      <c r="J144" s="62">
        <v>0</v>
      </c>
      <c r="K144" s="62" t="s">
        <v>178</v>
      </c>
      <c r="L144" s="101">
        <v>334000</v>
      </c>
      <c r="M144" s="101">
        <v>322000</v>
      </c>
      <c r="N144" s="62">
        <v>62</v>
      </c>
      <c r="O144" s="102">
        <v>3.07</v>
      </c>
      <c r="P144" s="103">
        <f t="shared" si="16"/>
        <v>45962</v>
      </c>
      <c r="Q144" s="104">
        <f t="shared" si="17"/>
        <v>270.58823529411762</v>
      </c>
      <c r="R144" s="105">
        <f t="shared" si="18"/>
        <v>0.9640718562874252</v>
      </c>
      <c r="S144" s="101">
        <f t="shared" si="19"/>
        <v>-12000</v>
      </c>
      <c r="T144" s="104">
        <f t="shared" si="20"/>
        <v>9885.4</v>
      </c>
      <c r="U144" s="62">
        <f t="shared" si="21"/>
        <v>75</v>
      </c>
      <c r="V144" s="62" t="str">
        <f t="shared" si="22"/>
        <v>$300-400K</v>
      </c>
      <c r="W144" s="62" t="str">
        <f t="shared" si="23"/>
        <v/>
      </c>
      <c r="X144" s="62"/>
    </row>
    <row r="145" spans="1:24" x14ac:dyDescent="0.35">
      <c r="A145" s="62">
        <v>10078</v>
      </c>
      <c r="B145" s="98">
        <v>45980</v>
      </c>
      <c r="C145" s="62" t="s">
        <v>74</v>
      </c>
      <c r="D145" s="62" t="s">
        <v>27</v>
      </c>
      <c r="E145" s="62">
        <v>4</v>
      </c>
      <c r="F145" s="62">
        <v>2.5</v>
      </c>
      <c r="G145" s="99">
        <v>1880</v>
      </c>
      <c r="H145" s="99">
        <v>7080</v>
      </c>
      <c r="I145" s="100">
        <v>1949</v>
      </c>
      <c r="J145" s="62">
        <v>0</v>
      </c>
      <c r="K145" s="62" t="s">
        <v>179</v>
      </c>
      <c r="L145" s="101">
        <v>338000</v>
      </c>
      <c r="M145" s="101">
        <v>329000</v>
      </c>
      <c r="N145" s="62">
        <v>44</v>
      </c>
      <c r="O145" s="102">
        <v>2.99</v>
      </c>
      <c r="P145" s="103">
        <f t="shared" si="16"/>
        <v>45962</v>
      </c>
      <c r="Q145" s="104">
        <f t="shared" si="17"/>
        <v>175</v>
      </c>
      <c r="R145" s="105">
        <f t="shared" si="18"/>
        <v>0.97337278106508873</v>
      </c>
      <c r="S145" s="101">
        <f t="shared" si="19"/>
        <v>-9000</v>
      </c>
      <c r="T145" s="104">
        <f t="shared" si="20"/>
        <v>9837.1</v>
      </c>
      <c r="U145" s="62">
        <f t="shared" si="21"/>
        <v>76</v>
      </c>
      <c r="V145" s="62" t="str">
        <f t="shared" si="22"/>
        <v>$300-400K</v>
      </c>
      <c r="W145" s="62" t="str">
        <f t="shared" si="23"/>
        <v/>
      </c>
      <c r="X145" s="62"/>
    </row>
    <row r="146" spans="1:24" x14ac:dyDescent="0.35">
      <c r="A146" s="62">
        <v>10204</v>
      </c>
      <c r="B146" s="98">
        <v>45980</v>
      </c>
      <c r="C146" s="62" t="s">
        <v>75</v>
      </c>
      <c r="D146" s="62" t="s">
        <v>27</v>
      </c>
      <c r="E146" s="62">
        <v>5</v>
      </c>
      <c r="F146" s="62">
        <v>2.5</v>
      </c>
      <c r="G146" s="99">
        <v>2910</v>
      </c>
      <c r="H146" s="99">
        <v>7450</v>
      </c>
      <c r="I146" s="100">
        <v>1961</v>
      </c>
      <c r="J146" s="62">
        <v>0</v>
      </c>
      <c r="K146" s="62" t="s">
        <v>179</v>
      </c>
      <c r="L146" s="101">
        <v>638000</v>
      </c>
      <c r="M146" s="101">
        <v>611000</v>
      </c>
      <c r="N146" s="62">
        <v>59</v>
      </c>
      <c r="O146" s="102">
        <v>2.77</v>
      </c>
      <c r="P146" s="103">
        <f t="shared" si="16"/>
        <v>45962</v>
      </c>
      <c r="Q146" s="104">
        <f t="shared" si="17"/>
        <v>209.96563573883162</v>
      </c>
      <c r="R146" s="105">
        <f t="shared" si="18"/>
        <v>0.95768025078369901</v>
      </c>
      <c r="S146" s="101">
        <f t="shared" si="19"/>
        <v>-27000</v>
      </c>
      <c r="T146" s="104">
        <f t="shared" si="20"/>
        <v>16924.7</v>
      </c>
      <c r="U146" s="62">
        <f t="shared" si="21"/>
        <v>64</v>
      </c>
      <c r="V146" s="62" t="str">
        <f t="shared" si="22"/>
        <v>$600-800K</v>
      </c>
      <c r="W146" s="62" t="str">
        <f t="shared" si="23"/>
        <v/>
      </c>
      <c r="X146" s="62"/>
    </row>
    <row r="147" spans="1:24" x14ac:dyDescent="0.35">
      <c r="A147" s="62">
        <v>10179</v>
      </c>
      <c r="B147" s="98">
        <v>45989</v>
      </c>
      <c r="C147" s="62" t="s">
        <v>72</v>
      </c>
      <c r="D147" s="62" t="s">
        <v>27</v>
      </c>
      <c r="E147" s="62">
        <v>4</v>
      </c>
      <c r="F147" s="62">
        <v>2.5</v>
      </c>
      <c r="G147" s="99">
        <v>2170</v>
      </c>
      <c r="H147" s="99">
        <v>5480</v>
      </c>
      <c r="I147" s="100">
        <v>1998</v>
      </c>
      <c r="J147" s="62">
        <v>2</v>
      </c>
      <c r="K147" s="62" t="s">
        <v>179</v>
      </c>
      <c r="L147" s="101">
        <v>389000</v>
      </c>
      <c r="M147" s="101">
        <v>369000</v>
      </c>
      <c r="N147" s="62">
        <v>72</v>
      </c>
      <c r="O147" s="102">
        <v>2.97</v>
      </c>
      <c r="P147" s="103">
        <f t="shared" si="16"/>
        <v>45962</v>
      </c>
      <c r="Q147" s="104">
        <f t="shared" si="17"/>
        <v>170.04608294930875</v>
      </c>
      <c r="R147" s="105">
        <f t="shared" si="18"/>
        <v>0.94858611825192807</v>
      </c>
      <c r="S147" s="101">
        <f t="shared" si="19"/>
        <v>-20000</v>
      </c>
      <c r="T147" s="104">
        <f t="shared" si="20"/>
        <v>10959.3</v>
      </c>
      <c r="U147" s="62">
        <f t="shared" si="21"/>
        <v>27</v>
      </c>
      <c r="V147" s="62" t="str">
        <f t="shared" si="22"/>
        <v>$300-400K</v>
      </c>
      <c r="W147" s="62" t="str">
        <f t="shared" si="23"/>
        <v/>
      </c>
      <c r="X147" s="62"/>
    </row>
    <row r="148" spans="1:24" x14ac:dyDescent="0.35">
      <c r="A148" s="62">
        <v>10220</v>
      </c>
      <c r="B148" s="98">
        <v>46000</v>
      </c>
      <c r="C148" s="62" t="s">
        <v>76</v>
      </c>
      <c r="D148" s="62" t="s">
        <v>27</v>
      </c>
      <c r="E148" s="62">
        <v>3</v>
      </c>
      <c r="F148" s="62">
        <v>3</v>
      </c>
      <c r="G148" s="99">
        <v>1690</v>
      </c>
      <c r="H148" s="99">
        <v>7210</v>
      </c>
      <c r="I148" s="100">
        <v>1961</v>
      </c>
      <c r="J148" s="62">
        <v>1</v>
      </c>
      <c r="K148" s="62" t="s">
        <v>178</v>
      </c>
      <c r="L148" s="101">
        <v>404000</v>
      </c>
      <c r="M148" s="101">
        <v>401000</v>
      </c>
      <c r="N148" s="62">
        <v>61</v>
      </c>
      <c r="O148" s="102">
        <v>3.07</v>
      </c>
      <c r="P148" s="103">
        <f t="shared" si="16"/>
        <v>45992</v>
      </c>
      <c r="Q148" s="104">
        <f t="shared" si="17"/>
        <v>237.27810650887574</v>
      </c>
      <c r="R148" s="105">
        <f t="shared" si="18"/>
        <v>0.99257425742574257</v>
      </c>
      <c r="S148" s="101">
        <f t="shared" si="19"/>
        <v>-3000</v>
      </c>
      <c r="T148" s="104">
        <f t="shared" si="20"/>
        <v>12310.7</v>
      </c>
      <c r="U148" s="62">
        <f t="shared" si="21"/>
        <v>64</v>
      </c>
      <c r="V148" s="62" t="str">
        <f t="shared" si="22"/>
        <v>$400-500K</v>
      </c>
      <c r="W148" s="62" t="str">
        <f t="shared" si="23"/>
        <v/>
      </c>
      <c r="X148" s="62"/>
    </row>
    <row r="149" spans="1:24" x14ac:dyDescent="0.35">
      <c r="A149" s="62">
        <v>10138</v>
      </c>
      <c r="B149" s="98">
        <v>46001</v>
      </c>
      <c r="C149" s="62" t="s">
        <v>74</v>
      </c>
      <c r="D149" s="62" t="s">
        <v>26</v>
      </c>
      <c r="E149" s="62">
        <v>1</v>
      </c>
      <c r="F149" s="62">
        <v>1</v>
      </c>
      <c r="G149" s="99">
        <v>920</v>
      </c>
      <c r="H149" s="99">
        <v>0</v>
      </c>
      <c r="I149" s="100">
        <v>1998</v>
      </c>
      <c r="J149" s="62">
        <v>1</v>
      </c>
      <c r="K149" s="62" t="s">
        <v>178</v>
      </c>
      <c r="L149" s="101">
        <v>178000</v>
      </c>
      <c r="M149" s="101">
        <v>174000</v>
      </c>
      <c r="N149" s="62">
        <v>46</v>
      </c>
      <c r="O149" s="102">
        <v>3.25</v>
      </c>
      <c r="P149" s="103">
        <f t="shared" si="16"/>
        <v>45992</v>
      </c>
      <c r="Q149" s="104">
        <f t="shared" si="17"/>
        <v>189.13043478260869</v>
      </c>
      <c r="R149" s="105">
        <f t="shared" si="18"/>
        <v>0.97752808988764039</v>
      </c>
      <c r="S149" s="101">
        <f t="shared" si="19"/>
        <v>-4000</v>
      </c>
      <c r="T149" s="104">
        <f t="shared" si="20"/>
        <v>5655</v>
      </c>
      <c r="U149" s="62">
        <f t="shared" si="21"/>
        <v>27</v>
      </c>
      <c r="V149" s="62" t="str">
        <f t="shared" si="22"/>
        <v>Under $200K</v>
      </c>
      <c r="W149" s="62" t="str">
        <f t="shared" si="23"/>
        <v/>
      </c>
      <c r="X149" s="62"/>
    </row>
    <row r="150" spans="1:24" x14ac:dyDescent="0.35">
      <c r="A150" s="62">
        <v>10084</v>
      </c>
      <c r="B150" s="98">
        <v>46002</v>
      </c>
      <c r="C150" s="62" t="s">
        <v>75</v>
      </c>
      <c r="D150" s="62" t="s">
        <v>26</v>
      </c>
      <c r="E150" s="62">
        <v>2</v>
      </c>
      <c r="F150" s="62">
        <v>1.5</v>
      </c>
      <c r="G150" s="99">
        <v>1350</v>
      </c>
      <c r="H150" s="99">
        <v>0</v>
      </c>
      <c r="I150" s="100">
        <v>1988</v>
      </c>
      <c r="J150" s="62">
        <v>0</v>
      </c>
      <c r="K150" s="62" t="s">
        <v>179</v>
      </c>
      <c r="L150" s="101">
        <v>313000</v>
      </c>
      <c r="M150" s="101">
        <v>301000</v>
      </c>
      <c r="N150" s="62">
        <v>55</v>
      </c>
      <c r="O150" s="102">
        <v>2.99</v>
      </c>
      <c r="P150" s="103">
        <f t="shared" si="16"/>
        <v>45992</v>
      </c>
      <c r="Q150" s="104">
        <f t="shared" si="17"/>
        <v>222.96296296296296</v>
      </c>
      <c r="R150" s="105">
        <f t="shared" si="18"/>
        <v>0.96166134185303509</v>
      </c>
      <c r="S150" s="101">
        <f t="shared" si="19"/>
        <v>-12000</v>
      </c>
      <c r="T150" s="104">
        <f t="shared" si="20"/>
        <v>8999.9000000000015</v>
      </c>
      <c r="U150" s="62">
        <f t="shared" si="21"/>
        <v>37</v>
      </c>
      <c r="V150" s="62" t="str">
        <f t="shared" si="22"/>
        <v>$300-400K</v>
      </c>
      <c r="W150" s="62" t="str">
        <f t="shared" si="23"/>
        <v/>
      </c>
      <c r="X150" s="62" t="s">
        <v>464</v>
      </c>
    </row>
    <row r="151" spans="1:24" x14ac:dyDescent="0.35">
      <c r="A151" s="62">
        <v>10200</v>
      </c>
      <c r="B151" s="98">
        <v>46012</v>
      </c>
      <c r="C151" s="62" t="s">
        <v>76</v>
      </c>
      <c r="D151" s="62" t="s">
        <v>27</v>
      </c>
      <c r="E151" s="62">
        <v>3</v>
      </c>
      <c r="F151" s="62">
        <v>2.5</v>
      </c>
      <c r="G151" s="99">
        <v>1760</v>
      </c>
      <c r="H151" s="99">
        <v>6390</v>
      </c>
      <c r="I151" s="100">
        <v>2007</v>
      </c>
      <c r="J151" s="62">
        <v>2</v>
      </c>
      <c r="K151" s="62" t="s">
        <v>180</v>
      </c>
      <c r="L151" s="101">
        <v>458000</v>
      </c>
      <c r="M151" s="101">
        <v>444000</v>
      </c>
      <c r="N151" s="62">
        <v>116</v>
      </c>
      <c r="O151" s="102">
        <v>2.85</v>
      </c>
      <c r="P151" s="103">
        <f t="shared" si="16"/>
        <v>45992</v>
      </c>
      <c r="Q151" s="104">
        <f t="shared" si="17"/>
        <v>252.27272727272728</v>
      </c>
      <c r="R151" s="105">
        <f t="shared" si="18"/>
        <v>0.96943231441048039</v>
      </c>
      <c r="S151" s="101">
        <f t="shared" si="19"/>
        <v>-14000</v>
      </c>
      <c r="T151" s="104">
        <f t="shared" si="20"/>
        <v>12654</v>
      </c>
      <c r="U151" s="62">
        <f t="shared" si="21"/>
        <v>18</v>
      </c>
      <c r="V151" s="62" t="str">
        <f t="shared" si="22"/>
        <v>$400-500K</v>
      </c>
      <c r="W151" s="62" t="str">
        <f t="shared" si="23"/>
        <v>Long DOM</v>
      </c>
      <c r="X151" s="62" t="s">
        <v>465</v>
      </c>
    </row>
    <row r="152" spans="1:24" x14ac:dyDescent="0.35">
      <c r="A152" s="62">
        <v>10007</v>
      </c>
      <c r="B152" s="98">
        <v>46014</v>
      </c>
      <c r="C152" s="62" t="s">
        <v>73</v>
      </c>
      <c r="D152" s="62" t="s">
        <v>26</v>
      </c>
      <c r="E152" s="62">
        <v>1</v>
      </c>
      <c r="F152" s="62">
        <v>1</v>
      </c>
      <c r="G152" s="99">
        <v>660</v>
      </c>
      <c r="H152" s="99">
        <v>0</v>
      </c>
      <c r="I152" s="100">
        <v>1986</v>
      </c>
      <c r="J152" s="62">
        <v>1</v>
      </c>
      <c r="K152" s="62" t="s">
        <v>179</v>
      </c>
      <c r="L152" s="101">
        <v>200000</v>
      </c>
      <c r="M152" s="101">
        <v>189000</v>
      </c>
      <c r="N152" s="62">
        <v>47</v>
      </c>
      <c r="O152" s="102">
        <v>2.75</v>
      </c>
      <c r="P152" s="103">
        <f t="shared" si="16"/>
        <v>45992</v>
      </c>
      <c r="Q152" s="104">
        <f t="shared" si="17"/>
        <v>286.36363636363637</v>
      </c>
      <c r="R152" s="105">
        <f t="shared" si="18"/>
        <v>0.94499999999999995</v>
      </c>
      <c r="S152" s="101">
        <f t="shared" si="19"/>
        <v>-11000</v>
      </c>
      <c r="T152" s="104">
        <f t="shared" si="20"/>
        <v>5197.5</v>
      </c>
      <c r="U152" s="62">
        <f t="shared" si="21"/>
        <v>39</v>
      </c>
      <c r="V152" s="62" t="str">
        <f t="shared" si="22"/>
        <v>Under $200K</v>
      </c>
      <c r="W152" s="62" t="str">
        <f t="shared" si="23"/>
        <v/>
      </c>
      <c r="X152" s="62" t="s">
        <v>466</v>
      </c>
    </row>
    <row r="153" spans="1:24" x14ac:dyDescent="0.35">
      <c r="A153" s="62">
        <v>10040</v>
      </c>
      <c r="B153" s="98">
        <v>46018</v>
      </c>
      <c r="C153" s="62" t="s">
        <v>74</v>
      </c>
      <c r="D153" s="62" t="s">
        <v>27</v>
      </c>
      <c r="E153" s="62">
        <v>4</v>
      </c>
      <c r="F153" s="62">
        <v>3.5</v>
      </c>
      <c r="G153" s="99">
        <v>1970</v>
      </c>
      <c r="H153" s="99">
        <v>6390</v>
      </c>
      <c r="I153" s="100">
        <v>1994</v>
      </c>
      <c r="J153" s="62">
        <v>2</v>
      </c>
      <c r="K153" s="62" t="s">
        <v>179</v>
      </c>
      <c r="L153" s="101">
        <v>448000</v>
      </c>
      <c r="M153" s="101">
        <v>449000</v>
      </c>
      <c r="N153" s="62">
        <v>52</v>
      </c>
      <c r="O153" s="102">
        <v>2.74</v>
      </c>
      <c r="P153" s="103">
        <f t="shared" si="16"/>
        <v>45992</v>
      </c>
      <c r="Q153" s="104">
        <f t="shared" si="17"/>
        <v>227.91878172588832</v>
      </c>
      <c r="R153" s="105">
        <f t="shared" si="18"/>
        <v>1.0022321428571428</v>
      </c>
      <c r="S153" s="101">
        <f t="shared" si="19"/>
        <v>1000</v>
      </c>
      <c r="T153" s="104">
        <f t="shared" si="20"/>
        <v>12302.6</v>
      </c>
      <c r="U153" s="62">
        <f t="shared" si="21"/>
        <v>31</v>
      </c>
      <c r="V153" s="62" t="str">
        <f t="shared" si="22"/>
        <v>$400-500K</v>
      </c>
      <c r="W153" s="62" t="str">
        <f t="shared" si="23"/>
        <v/>
      </c>
      <c r="X153" s="62" t="s">
        <v>467</v>
      </c>
    </row>
    <row r="154" spans="1:24" x14ac:dyDescent="0.35">
      <c r="A154" s="62">
        <v>10125</v>
      </c>
      <c r="B154" s="98">
        <v>46020</v>
      </c>
      <c r="C154" s="62" t="s">
        <v>75</v>
      </c>
      <c r="D154" s="62" t="s">
        <v>27</v>
      </c>
      <c r="E154" s="62">
        <v>5</v>
      </c>
      <c r="F154" s="62">
        <v>4</v>
      </c>
      <c r="G154" s="99">
        <v>2580</v>
      </c>
      <c r="H154" s="99">
        <v>5830</v>
      </c>
      <c r="I154" s="100">
        <v>1969</v>
      </c>
      <c r="J154" s="62">
        <v>2</v>
      </c>
      <c r="K154" s="62" t="s">
        <v>180</v>
      </c>
      <c r="L154" s="101">
        <v>575000</v>
      </c>
      <c r="M154" s="101">
        <v>546000</v>
      </c>
      <c r="N154" s="62">
        <v>69</v>
      </c>
      <c r="O154" s="102"/>
      <c r="P154" s="103">
        <f t="shared" si="16"/>
        <v>45992</v>
      </c>
      <c r="Q154" s="104">
        <f t="shared" si="17"/>
        <v>211.62790697674419</v>
      </c>
      <c r="R154" s="105">
        <f t="shared" si="18"/>
        <v>0.94956521739130439</v>
      </c>
      <c r="S154" s="101">
        <f t="shared" si="19"/>
        <v>-29000</v>
      </c>
      <c r="T154" s="104" t="str">
        <f t="shared" si="20"/>
        <v/>
      </c>
      <c r="U154" s="62">
        <f t="shared" si="21"/>
        <v>56</v>
      </c>
      <c r="V154" s="62" t="str">
        <f t="shared" si="22"/>
        <v>$500-600K</v>
      </c>
      <c r="W154" s="62" t="str">
        <f t="shared" si="23"/>
        <v/>
      </c>
      <c r="X154" s="62" t="s">
        <v>468</v>
      </c>
    </row>
    <row r="155" spans="1:24" x14ac:dyDescent="0.35">
      <c r="A155" s="62">
        <v>10185</v>
      </c>
      <c r="B155" s="98">
        <v>46025</v>
      </c>
      <c r="C155" s="62" t="s">
        <v>73</v>
      </c>
      <c r="D155" s="62" t="s">
        <v>27</v>
      </c>
      <c r="E155" s="62">
        <v>3</v>
      </c>
      <c r="F155" s="62">
        <v>2.5</v>
      </c>
      <c r="G155" s="99">
        <v>1490</v>
      </c>
      <c r="H155" s="99">
        <v>6460</v>
      </c>
      <c r="I155" s="100">
        <v>1993</v>
      </c>
      <c r="J155" s="62">
        <v>2</v>
      </c>
      <c r="K155" s="62" t="s">
        <v>179</v>
      </c>
      <c r="L155" s="101">
        <v>438000</v>
      </c>
      <c r="M155" s="101">
        <v>428000</v>
      </c>
      <c r="N155" s="62">
        <v>43</v>
      </c>
      <c r="O155" s="102">
        <v>2.79</v>
      </c>
      <c r="P155" s="103">
        <f t="shared" si="16"/>
        <v>46023</v>
      </c>
      <c r="Q155" s="104">
        <f t="shared" si="17"/>
        <v>287.24832214765098</v>
      </c>
      <c r="R155" s="105">
        <f t="shared" si="18"/>
        <v>0.97716894977168944</v>
      </c>
      <c r="S155" s="101">
        <f t="shared" si="19"/>
        <v>-10000</v>
      </c>
      <c r="T155" s="104">
        <f t="shared" si="20"/>
        <v>11941.2</v>
      </c>
      <c r="U155" s="62">
        <f t="shared" si="21"/>
        <v>33</v>
      </c>
      <c r="V155" s="62" t="str">
        <f t="shared" si="22"/>
        <v>$400-500K</v>
      </c>
      <c r="W155" s="62" t="str">
        <f t="shared" si="23"/>
        <v/>
      </c>
      <c r="X155" s="62"/>
    </row>
    <row r="156" spans="1:24" x14ac:dyDescent="0.35">
      <c r="A156" s="62">
        <v>10091</v>
      </c>
      <c r="B156" s="98">
        <v>46027</v>
      </c>
      <c r="C156" s="62" t="s">
        <v>75</v>
      </c>
      <c r="D156" s="62" t="s">
        <v>27</v>
      </c>
      <c r="E156" s="62">
        <v>3</v>
      </c>
      <c r="F156" s="62">
        <v>2.5</v>
      </c>
      <c r="G156" s="99">
        <v>1470</v>
      </c>
      <c r="H156" s="99">
        <v>4390</v>
      </c>
      <c r="I156" s="100">
        <v>2020</v>
      </c>
      <c r="J156" s="62">
        <v>1</v>
      </c>
      <c r="K156" s="62" t="s">
        <v>178</v>
      </c>
      <c r="L156" s="101">
        <v>463000</v>
      </c>
      <c r="M156" s="101">
        <v>472000</v>
      </c>
      <c r="N156" s="62">
        <v>57</v>
      </c>
      <c r="O156" s="102">
        <v>2.97</v>
      </c>
      <c r="P156" s="103">
        <f t="shared" si="16"/>
        <v>46023</v>
      </c>
      <c r="Q156" s="104">
        <f t="shared" si="17"/>
        <v>321.08843537414964</v>
      </c>
      <c r="R156" s="105">
        <f t="shared" si="18"/>
        <v>1.0194384449244061</v>
      </c>
      <c r="S156" s="101">
        <f t="shared" si="19"/>
        <v>9000</v>
      </c>
      <c r="T156" s="104">
        <f t="shared" si="20"/>
        <v>14018.4</v>
      </c>
      <c r="U156" s="62">
        <f t="shared" si="21"/>
        <v>6</v>
      </c>
      <c r="V156" s="62" t="str">
        <f t="shared" si="22"/>
        <v>$400-500K</v>
      </c>
      <c r="W156" s="62" t="str">
        <f t="shared" si="23"/>
        <v/>
      </c>
      <c r="X156" s="62"/>
    </row>
    <row r="157" spans="1:24" x14ac:dyDescent="0.35">
      <c r="A157" s="62">
        <v>10219</v>
      </c>
      <c r="B157" s="98">
        <v>46029</v>
      </c>
      <c r="C157" s="62" t="s">
        <v>72</v>
      </c>
      <c r="D157" s="62" t="s">
        <v>27</v>
      </c>
      <c r="E157" s="62">
        <v>4</v>
      </c>
      <c r="F157" s="62">
        <v>3.5</v>
      </c>
      <c r="G157" s="99">
        <v>2120</v>
      </c>
      <c r="H157" s="99">
        <v>5410</v>
      </c>
      <c r="I157" s="100">
        <v>1985</v>
      </c>
      <c r="J157" s="62">
        <v>1</v>
      </c>
      <c r="K157" s="62" t="s">
        <v>179</v>
      </c>
      <c r="L157" s="101">
        <v>350000</v>
      </c>
      <c r="M157" s="101">
        <v>338000</v>
      </c>
      <c r="N157" s="62">
        <v>66</v>
      </c>
      <c r="O157" s="102">
        <v>3.09</v>
      </c>
      <c r="P157" s="103">
        <f t="shared" si="16"/>
        <v>46023</v>
      </c>
      <c r="Q157" s="104">
        <f t="shared" si="17"/>
        <v>159.43396226415095</v>
      </c>
      <c r="R157" s="105">
        <f t="shared" si="18"/>
        <v>0.96571428571428575</v>
      </c>
      <c r="S157" s="101">
        <f t="shared" si="19"/>
        <v>-12000</v>
      </c>
      <c r="T157" s="104">
        <f t="shared" si="20"/>
        <v>10444.200000000001</v>
      </c>
      <c r="U157" s="62">
        <f t="shared" si="21"/>
        <v>41</v>
      </c>
      <c r="V157" s="62" t="str">
        <f t="shared" si="22"/>
        <v>$300-400K</v>
      </c>
      <c r="W157" s="62" t="str">
        <f t="shared" si="23"/>
        <v/>
      </c>
      <c r="X157" s="62" t="s">
        <v>464</v>
      </c>
    </row>
    <row r="158" spans="1:24" x14ac:dyDescent="0.35">
      <c r="A158" s="62">
        <v>10213</v>
      </c>
      <c r="B158" s="98">
        <v>46030</v>
      </c>
      <c r="C158" s="62" t="s">
        <v>75</v>
      </c>
      <c r="D158" s="62" t="s">
        <v>26</v>
      </c>
      <c r="E158" s="62">
        <v>1</v>
      </c>
      <c r="F158" s="62">
        <v>1</v>
      </c>
      <c r="G158" s="99">
        <v>900</v>
      </c>
      <c r="H158" s="99">
        <v>0</v>
      </c>
      <c r="I158" s="100">
        <v>2024</v>
      </c>
      <c r="J158" s="62">
        <v>0</v>
      </c>
      <c r="K158" s="62" t="s">
        <v>178</v>
      </c>
      <c r="L158" s="101">
        <v>275000</v>
      </c>
      <c r="M158" s="101">
        <v>284000</v>
      </c>
      <c r="N158" s="62">
        <v>53</v>
      </c>
      <c r="O158" s="102">
        <v>2.91</v>
      </c>
      <c r="P158" s="103">
        <f t="shared" si="16"/>
        <v>46023</v>
      </c>
      <c r="Q158" s="104">
        <f t="shared" si="17"/>
        <v>315.55555555555554</v>
      </c>
      <c r="R158" s="105">
        <f t="shared" si="18"/>
        <v>1.0327272727272727</v>
      </c>
      <c r="S158" s="101">
        <f t="shared" si="19"/>
        <v>9000</v>
      </c>
      <c r="T158" s="104">
        <f t="shared" si="20"/>
        <v>8264.4</v>
      </c>
      <c r="U158" s="62">
        <f t="shared" si="21"/>
        <v>2</v>
      </c>
      <c r="V158" s="62" t="str">
        <f t="shared" si="22"/>
        <v>$200-300K</v>
      </c>
      <c r="W158" s="62" t="str">
        <f t="shared" si="23"/>
        <v/>
      </c>
      <c r="X158" s="62" t="s">
        <v>431</v>
      </c>
    </row>
    <row r="159" spans="1:24" x14ac:dyDescent="0.35">
      <c r="A159" s="62">
        <v>10157</v>
      </c>
      <c r="B159" s="98">
        <v>46033</v>
      </c>
      <c r="C159" s="62" t="s">
        <v>76</v>
      </c>
      <c r="D159" s="62" t="s">
        <v>27</v>
      </c>
      <c r="E159" s="62">
        <v>5</v>
      </c>
      <c r="F159" s="62">
        <v>3.5</v>
      </c>
      <c r="G159" s="99">
        <v>3100</v>
      </c>
      <c r="H159" s="99">
        <v>8710</v>
      </c>
      <c r="I159" s="100">
        <v>1984</v>
      </c>
      <c r="J159" s="62">
        <v>0</v>
      </c>
      <c r="K159" s="62" t="s">
        <v>178</v>
      </c>
      <c r="L159" s="101">
        <v>654000</v>
      </c>
      <c r="M159" s="101">
        <v>619000</v>
      </c>
      <c r="N159" s="62">
        <v>18</v>
      </c>
      <c r="O159" s="102">
        <v>3.01</v>
      </c>
      <c r="P159" s="103">
        <f t="shared" si="16"/>
        <v>46023</v>
      </c>
      <c r="Q159" s="104">
        <f t="shared" si="17"/>
        <v>199.67741935483872</v>
      </c>
      <c r="R159" s="105">
        <f t="shared" si="18"/>
        <v>0.94648318042813451</v>
      </c>
      <c r="S159" s="101">
        <f t="shared" si="19"/>
        <v>-35000</v>
      </c>
      <c r="T159" s="104">
        <f t="shared" si="20"/>
        <v>18631.899999999998</v>
      </c>
      <c r="U159" s="62">
        <f t="shared" si="21"/>
        <v>42</v>
      </c>
      <c r="V159" s="62" t="str">
        <f t="shared" si="22"/>
        <v>$600-800K</v>
      </c>
      <c r="W159" s="62" t="str">
        <f t="shared" si="23"/>
        <v/>
      </c>
      <c r="X159" s="62" t="s">
        <v>450</v>
      </c>
    </row>
    <row r="160" spans="1:24" x14ac:dyDescent="0.35">
      <c r="A160" s="62">
        <v>10188</v>
      </c>
      <c r="B160" s="98">
        <v>46033</v>
      </c>
      <c r="C160" s="62" t="s">
        <v>75</v>
      </c>
      <c r="D160" s="62" t="s">
        <v>27</v>
      </c>
      <c r="E160" s="62">
        <v>4</v>
      </c>
      <c r="F160" s="62">
        <v>3.5</v>
      </c>
      <c r="G160" s="99">
        <v>2370</v>
      </c>
      <c r="H160" s="99">
        <v>9140</v>
      </c>
      <c r="I160" s="100">
        <v>2017</v>
      </c>
      <c r="J160" s="62">
        <v>2</v>
      </c>
      <c r="K160" s="62" t="s">
        <v>180</v>
      </c>
      <c r="L160" s="101">
        <v>547000</v>
      </c>
      <c r="M160" s="101">
        <v>521000</v>
      </c>
      <c r="N160" s="62">
        <v>97</v>
      </c>
      <c r="O160" s="102">
        <v>2.9</v>
      </c>
      <c r="P160" s="103">
        <f t="shared" si="16"/>
        <v>46023</v>
      </c>
      <c r="Q160" s="104">
        <f t="shared" si="17"/>
        <v>219.83122362869199</v>
      </c>
      <c r="R160" s="105">
        <f t="shared" si="18"/>
        <v>0.95246800731261427</v>
      </c>
      <c r="S160" s="101">
        <f t="shared" si="19"/>
        <v>-26000</v>
      </c>
      <c r="T160" s="104">
        <f t="shared" si="20"/>
        <v>15109</v>
      </c>
      <c r="U160" s="62">
        <f t="shared" si="21"/>
        <v>9</v>
      </c>
      <c r="V160" s="62" t="str">
        <f t="shared" si="22"/>
        <v>$500-600K</v>
      </c>
      <c r="W160" s="62" t="str">
        <f t="shared" si="23"/>
        <v/>
      </c>
      <c r="X160" s="62"/>
    </row>
    <row r="161" spans="1:24" x14ac:dyDescent="0.35">
      <c r="A161" s="62">
        <v>10159</v>
      </c>
      <c r="B161" s="98">
        <v>46035</v>
      </c>
      <c r="C161" s="62" t="s">
        <v>73</v>
      </c>
      <c r="D161" s="62" t="s">
        <v>26</v>
      </c>
      <c r="E161" s="62">
        <v>1</v>
      </c>
      <c r="F161" s="62">
        <v>1</v>
      </c>
      <c r="G161" s="99">
        <v>940</v>
      </c>
      <c r="H161" s="99">
        <v>0</v>
      </c>
      <c r="I161" s="100">
        <v>1970</v>
      </c>
      <c r="J161" s="62">
        <v>1</v>
      </c>
      <c r="K161" s="62" t="s">
        <v>179</v>
      </c>
      <c r="L161" s="101">
        <v>276000</v>
      </c>
      <c r="M161" s="101">
        <v>278000</v>
      </c>
      <c r="N161" s="62">
        <v>34</v>
      </c>
      <c r="O161" s="102"/>
      <c r="P161" s="103">
        <f t="shared" si="16"/>
        <v>46023</v>
      </c>
      <c r="Q161" s="104">
        <f t="shared" si="17"/>
        <v>295.74468085106383</v>
      </c>
      <c r="R161" s="105">
        <f t="shared" si="18"/>
        <v>1.0072463768115942</v>
      </c>
      <c r="S161" s="101">
        <f t="shared" si="19"/>
        <v>2000</v>
      </c>
      <c r="T161" s="104" t="str">
        <f t="shared" si="20"/>
        <v/>
      </c>
      <c r="U161" s="62">
        <f t="shared" si="21"/>
        <v>56</v>
      </c>
      <c r="V161" s="62" t="str">
        <f t="shared" si="22"/>
        <v>$200-300K</v>
      </c>
      <c r="W161" s="62" t="str">
        <f t="shared" si="23"/>
        <v/>
      </c>
      <c r="X161" s="62" t="s">
        <v>454</v>
      </c>
    </row>
    <row r="162" spans="1:24" x14ac:dyDescent="0.35">
      <c r="A162" s="62">
        <v>10103</v>
      </c>
      <c r="B162" s="98">
        <v>46036</v>
      </c>
      <c r="C162" s="62" t="s">
        <v>76</v>
      </c>
      <c r="D162" s="62" t="s">
        <v>27</v>
      </c>
      <c r="E162" s="62">
        <v>3</v>
      </c>
      <c r="F162" s="62">
        <v>2.5</v>
      </c>
      <c r="G162" s="99">
        <v>1600</v>
      </c>
      <c r="H162" s="99">
        <v>7170</v>
      </c>
      <c r="I162" s="100">
        <v>1968</v>
      </c>
      <c r="J162" s="62">
        <v>1</v>
      </c>
      <c r="K162" s="62" t="s">
        <v>180</v>
      </c>
      <c r="L162" s="101">
        <v>338000</v>
      </c>
      <c r="M162" s="101">
        <v>317000</v>
      </c>
      <c r="N162" s="62">
        <v>66</v>
      </c>
      <c r="O162" s="102">
        <v>3.02</v>
      </c>
      <c r="P162" s="103">
        <f t="shared" si="16"/>
        <v>46023</v>
      </c>
      <c r="Q162" s="104">
        <f t="shared" si="17"/>
        <v>198.125</v>
      </c>
      <c r="R162" s="105">
        <f t="shared" si="18"/>
        <v>0.93786982248520712</v>
      </c>
      <c r="S162" s="101">
        <f t="shared" si="19"/>
        <v>-21000</v>
      </c>
      <c r="T162" s="104">
        <f t="shared" si="20"/>
        <v>9573.4</v>
      </c>
      <c r="U162" s="62">
        <f t="shared" si="21"/>
        <v>58</v>
      </c>
      <c r="V162" s="62" t="str">
        <f t="shared" si="22"/>
        <v>$300-400K</v>
      </c>
      <c r="W162" s="62" t="str">
        <f t="shared" si="23"/>
        <v/>
      </c>
      <c r="X162" s="62" t="s">
        <v>433</v>
      </c>
    </row>
    <row r="163" spans="1:24" x14ac:dyDescent="0.35">
      <c r="A163" s="62">
        <v>10122</v>
      </c>
      <c r="B163" s="98">
        <v>46037</v>
      </c>
      <c r="C163" s="62" t="s">
        <v>182</v>
      </c>
      <c r="D163" s="62" t="s">
        <v>27</v>
      </c>
      <c r="E163" s="62">
        <v>5</v>
      </c>
      <c r="F163" s="62">
        <v>4</v>
      </c>
      <c r="G163" s="99">
        <v>2570</v>
      </c>
      <c r="H163" s="99">
        <v>7660</v>
      </c>
      <c r="I163" s="100">
        <v>1997</v>
      </c>
      <c r="J163" s="62">
        <v>2</v>
      </c>
      <c r="K163" s="62" t="s">
        <v>178</v>
      </c>
      <c r="L163" s="101">
        <v>535000</v>
      </c>
      <c r="M163" s="101">
        <v>528000</v>
      </c>
      <c r="N163" s="62">
        <v>57</v>
      </c>
      <c r="O163" s="102"/>
      <c r="P163" s="103">
        <f t="shared" si="16"/>
        <v>46023</v>
      </c>
      <c r="Q163" s="104">
        <f t="shared" si="17"/>
        <v>205.44747081712063</v>
      </c>
      <c r="R163" s="105">
        <f t="shared" si="18"/>
        <v>0.98691588785046724</v>
      </c>
      <c r="S163" s="101">
        <f t="shared" si="19"/>
        <v>-7000</v>
      </c>
      <c r="T163" s="104" t="str">
        <f t="shared" si="20"/>
        <v/>
      </c>
      <c r="U163" s="62">
        <f t="shared" si="21"/>
        <v>29</v>
      </c>
      <c r="V163" s="62" t="str">
        <f t="shared" si="22"/>
        <v>$500-600K</v>
      </c>
      <c r="W163" s="62" t="str">
        <f t="shared" si="23"/>
        <v/>
      </c>
      <c r="X163" s="62" t="s">
        <v>469</v>
      </c>
    </row>
    <row r="164" spans="1:24" x14ac:dyDescent="0.35">
      <c r="A164" s="62">
        <v>10221</v>
      </c>
      <c r="B164" s="98">
        <v>46038</v>
      </c>
      <c r="C164" s="62" t="s">
        <v>76</v>
      </c>
      <c r="D164" s="62" t="s">
        <v>27</v>
      </c>
      <c r="E164" s="62">
        <v>5</v>
      </c>
      <c r="F164" s="62">
        <v>3</v>
      </c>
      <c r="G164" s="99">
        <v>2580</v>
      </c>
      <c r="H164" s="99">
        <v>6510</v>
      </c>
      <c r="I164" s="100">
        <v>2009</v>
      </c>
      <c r="J164" s="62">
        <v>3</v>
      </c>
      <c r="K164" s="62" t="s">
        <v>178</v>
      </c>
      <c r="L164" s="101">
        <v>560000</v>
      </c>
      <c r="M164" s="101">
        <v>519000</v>
      </c>
      <c r="N164" s="62">
        <v>25</v>
      </c>
      <c r="O164" s="102">
        <v>2.54</v>
      </c>
      <c r="P164" s="103">
        <f t="shared" si="16"/>
        <v>46023</v>
      </c>
      <c r="Q164" s="104">
        <f t="shared" si="17"/>
        <v>201.16279069767441</v>
      </c>
      <c r="R164" s="105">
        <f t="shared" si="18"/>
        <v>0.92678571428571432</v>
      </c>
      <c r="S164" s="101">
        <f t="shared" si="19"/>
        <v>-41000</v>
      </c>
      <c r="T164" s="104">
        <f t="shared" si="20"/>
        <v>13182.6</v>
      </c>
      <c r="U164" s="62">
        <f t="shared" si="21"/>
        <v>17</v>
      </c>
      <c r="V164" s="62" t="str">
        <f t="shared" si="22"/>
        <v>$500-600K</v>
      </c>
      <c r="W164" s="62" t="str">
        <f t="shared" si="23"/>
        <v/>
      </c>
      <c r="X164" s="62" t="s">
        <v>442</v>
      </c>
    </row>
    <row r="165" spans="1:24" x14ac:dyDescent="0.35">
      <c r="A165" s="62">
        <v>10183</v>
      </c>
      <c r="B165" s="98">
        <v>46039</v>
      </c>
      <c r="C165" s="62" t="s">
        <v>74</v>
      </c>
      <c r="D165" s="62" t="s">
        <v>28</v>
      </c>
      <c r="E165" s="62">
        <v>2</v>
      </c>
      <c r="F165" s="62">
        <v>1</v>
      </c>
      <c r="G165" s="99">
        <v>900</v>
      </c>
      <c r="H165" s="99">
        <v>2260</v>
      </c>
      <c r="I165" s="100">
        <v>2004</v>
      </c>
      <c r="J165" s="62">
        <v>3</v>
      </c>
      <c r="K165" s="62" t="s">
        <v>178</v>
      </c>
      <c r="L165" s="101">
        <v>237000</v>
      </c>
      <c r="M165" s="101">
        <v>230000</v>
      </c>
      <c r="N165" s="62">
        <v>84</v>
      </c>
      <c r="O165" s="102">
        <v>2.46</v>
      </c>
      <c r="P165" s="103">
        <f t="shared" si="16"/>
        <v>46023</v>
      </c>
      <c r="Q165" s="104">
        <f t="shared" si="17"/>
        <v>255.55555555555554</v>
      </c>
      <c r="R165" s="105">
        <f t="shared" si="18"/>
        <v>0.97046413502109707</v>
      </c>
      <c r="S165" s="101">
        <f t="shared" si="19"/>
        <v>-7000</v>
      </c>
      <c r="T165" s="104">
        <f t="shared" si="20"/>
        <v>5658</v>
      </c>
      <c r="U165" s="62">
        <f t="shared" si="21"/>
        <v>22</v>
      </c>
      <c r="V165" s="62" t="str">
        <f t="shared" si="22"/>
        <v>$200-300K</v>
      </c>
      <c r="W165" s="62" t="str">
        <f t="shared" si="23"/>
        <v/>
      </c>
      <c r="X165" s="62"/>
    </row>
    <row r="166" spans="1:24" x14ac:dyDescent="0.35">
      <c r="A166" s="62">
        <v>10101</v>
      </c>
      <c r="B166" s="98">
        <v>46042</v>
      </c>
      <c r="C166" s="62" t="s">
        <v>72</v>
      </c>
      <c r="D166" s="62" t="s">
        <v>27</v>
      </c>
      <c r="E166" s="62">
        <v>4</v>
      </c>
      <c r="F166" s="62">
        <v>2</v>
      </c>
      <c r="G166" s="99">
        <v>2100</v>
      </c>
      <c r="H166" s="99">
        <v>8050</v>
      </c>
      <c r="I166" s="100">
        <v>1958</v>
      </c>
      <c r="J166" s="62">
        <v>1</v>
      </c>
      <c r="K166" s="62" t="s">
        <v>181</v>
      </c>
      <c r="L166" s="101">
        <v>312000</v>
      </c>
      <c r="M166" s="101">
        <v>315000</v>
      </c>
      <c r="N166" s="62">
        <v>60</v>
      </c>
      <c r="O166" s="102">
        <v>2.97</v>
      </c>
      <c r="P166" s="103">
        <f t="shared" si="16"/>
        <v>46023</v>
      </c>
      <c r="Q166" s="104">
        <f t="shared" si="17"/>
        <v>150</v>
      </c>
      <c r="R166" s="105">
        <f t="shared" si="18"/>
        <v>1.0096153846153846</v>
      </c>
      <c r="S166" s="101">
        <f t="shared" si="19"/>
        <v>3000</v>
      </c>
      <c r="T166" s="104">
        <f t="shared" si="20"/>
        <v>9355.5000000000018</v>
      </c>
      <c r="U166" s="62">
        <f t="shared" si="21"/>
        <v>68</v>
      </c>
      <c r="V166" s="62" t="str">
        <f t="shared" si="22"/>
        <v>$300-400K</v>
      </c>
      <c r="W166" s="62" t="str">
        <f t="shared" si="23"/>
        <v/>
      </c>
      <c r="X166" s="62" t="s">
        <v>431</v>
      </c>
    </row>
    <row r="167" spans="1:24" x14ac:dyDescent="0.35">
      <c r="A167" s="62">
        <v>10032</v>
      </c>
      <c r="B167" s="98">
        <v>46045</v>
      </c>
      <c r="C167" s="62" t="s">
        <v>72</v>
      </c>
      <c r="D167" s="62" t="s">
        <v>27</v>
      </c>
      <c r="E167" s="62">
        <v>3</v>
      </c>
      <c r="F167" s="62">
        <v>3</v>
      </c>
      <c r="G167" s="99">
        <v>1740</v>
      </c>
      <c r="H167" s="99">
        <v>7600</v>
      </c>
      <c r="I167" s="100">
        <v>2012</v>
      </c>
      <c r="J167" s="62">
        <v>2</v>
      </c>
      <c r="K167" s="62" t="s">
        <v>180</v>
      </c>
      <c r="L167" s="101">
        <v>299000</v>
      </c>
      <c r="M167" s="101">
        <v>294000</v>
      </c>
      <c r="N167" s="62">
        <v>73</v>
      </c>
      <c r="O167" s="102">
        <v>2.77</v>
      </c>
      <c r="P167" s="103">
        <f t="shared" si="16"/>
        <v>46023</v>
      </c>
      <c r="Q167" s="104">
        <f t="shared" si="17"/>
        <v>168.9655172413793</v>
      </c>
      <c r="R167" s="105">
        <f t="shared" si="18"/>
        <v>0.98327759197324416</v>
      </c>
      <c r="S167" s="101">
        <f t="shared" si="19"/>
        <v>-5000</v>
      </c>
      <c r="T167" s="104">
        <f t="shared" si="20"/>
        <v>8143.8</v>
      </c>
      <c r="U167" s="62">
        <f t="shared" si="21"/>
        <v>14</v>
      </c>
      <c r="V167" s="62" t="str">
        <f t="shared" si="22"/>
        <v>$200-300K</v>
      </c>
      <c r="W167" s="62" t="str">
        <f t="shared" si="23"/>
        <v/>
      </c>
      <c r="X167" s="62" t="s">
        <v>453</v>
      </c>
    </row>
    <row r="168" spans="1:24" x14ac:dyDescent="0.35">
      <c r="A168" s="62">
        <v>10037</v>
      </c>
      <c r="B168" s="98">
        <v>46045</v>
      </c>
      <c r="C168" s="62" t="s">
        <v>75</v>
      </c>
      <c r="D168" s="62" t="s">
        <v>27</v>
      </c>
      <c r="E168" s="62">
        <v>3</v>
      </c>
      <c r="F168" s="62">
        <v>2</v>
      </c>
      <c r="G168" s="99">
        <v>1790</v>
      </c>
      <c r="H168" s="99">
        <v>7180</v>
      </c>
      <c r="I168" s="100">
        <v>1987</v>
      </c>
      <c r="J168" s="62">
        <v>1</v>
      </c>
      <c r="K168" s="62" t="s">
        <v>179</v>
      </c>
      <c r="L168" s="101">
        <v>485000</v>
      </c>
      <c r="M168" s="101">
        <v>493000</v>
      </c>
      <c r="N168" s="62"/>
      <c r="O168" s="102">
        <v>2.98</v>
      </c>
      <c r="P168" s="103">
        <f t="shared" si="16"/>
        <v>46023</v>
      </c>
      <c r="Q168" s="104">
        <f t="shared" si="17"/>
        <v>275.4189944134078</v>
      </c>
      <c r="R168" s="105">
        <f t="shared" si="18"/>
        <v>1.0164948453608247</v>
      </c>
      <c r="S168" s="101">
        <f t="shared" si="19"/>
        <v>8000</v>
      </c>
      <c r="T168" s="104">
        <f t="shared" si="20"/>
        <v>14691.4</v>
      </c>
      <c r="U168" s="62">
        <f t="shared" si="21"/>
        <v>39</v>
      </c>
      <c r="V168" s="62" t="str">
        <f t="shared" si="22"/>
        <v>$400-500K</v>
      </c>
      <c r="W168" s="62" t="str">
        <f t="shared" si="23"/>
        <v/>
      </c>
      <c r="X168" s="62" t="s">
        <v>439</v>
      </c>
    </row>
    <row r="169" spans="1:24" x14ac:dyDescent="0.35">
      <c r="A169" s="62">
        <v>10096</v>
      </c>
      <c r="B169" s="98">
        <v>46045</v>
      </c>
      <c r="C169" s="62" t="s">
        <v>74</v>
      </c>
      <c r="D169" s="62" t="s">
        <v>28</v>
      </c>
      <c r="E169" s="62">
        <v>3</v>
      </c>
      <c r="F169" s="62">
        <v>1.5</v>
      </c>
      <c r="G169" s="99">
        <v>1630</v>
      </c>
      <c r="H169" s="99">
        <v>1290</v>
      </c>
      <c r="I169" s="100"/>
      <c r="J169" s="62">
        <v>0</v>
      </c>
      <c r="K169" s="62" t="s">
        <v>180</v>
      </c>
      <c r="L169" s="101">
        <v>293000</v>
      </c>
      <c r="M169" s="101">
        <v>293000</v>
      </c>
      <c r="N169" s="62">
        <v>124</v>
      </c>
      <c r="O169" s="102">
        <v>3</v>
      </c>
      <c r="P169" s="103">
        <f t="shared" si="16"/>
        <v>46023</v>
      </c>
      <c r="Q169" s="104">
        <f t="shared" si="17"/>
        <v>179.75460122699386</v>
      </c>
      <c r="R169" s="105">
        <f t="shared" si="18"/>
        <v>1</v>
      </c>
      <c r="S169" s="101">
        <f t="shared" si="19"/>
        <v>0</v>
      </c>
      <c r="T169" s="104">
        <f t="shared" si="20"/>
        <v>8790</v>
      </c>
      <c r="U169" s="62" t="str">
        <f t="shared" si="21"/>
        <v/>
      </c>
      <c r="V169" s="62" t="str">
        <f t="shared" si="22"/>
        <v>$200-300K</v>
      </c>
      <c r="W169" s="62" t="str">
        <f t="shared" si="23"/>
        <v>Long DOM</v>
      </c>
      <c r="X169" s="62" t="s">
        <v>470</v>
      </c>
    </row>
    <row r="170" spans="1:24" x14ac:dyDescent="0.35">
      <c r="A170" s="62">
        <v>10123</v>
      </c>
      <c r="B170" s="98">
        <v>46045</v>
      </c>
      <c r="C170" s="62" t="s">
        <v>75</v>
      </c>
      <c r="D170" s="62" t="s">
        <v>27</v>
      </c>
      <c r="E170" s="62">
        <v>3</v>
      </c>
      <c r="F170" s="62">
        <v>2</v>
      </c>
      <c r="G170" s="99">
        <v>1830</v>
      </c>
      <c r="H170" s="99">
        <v>5410</v>
      </c>
      <c r="I170" s="100">
        <v>1979</v>
      </c>
      <c r="J170" s="62">
        <v>2</v>
      </c>
      <c r="K170" s="62" t="s">
        <v>179</v>
      </c>
      <c r="L170" s="101">
        <v>464000</v>
      </c>
      <c r="M170" s="101">
        <v>446000</v>
      </c>
      <c r="N170" s="62">
        <v>44</v>
      </c>
      <c r="O170" s="102">
        <v>3.22</v>
      </c>
      <c r="P170" s="103">
        <f t="shared" si="16"/>
        <v>46023</v>
      </c>
      <c r="Q170" s="104">
        <f t="shared" si="17"/>
        <v>243.71584699453553</v>
      </c>
      <c r="R170" s="105">
        <f t="shared" si="18"/>
        <v>0.96120689655172409</v>
      </c>
      <c r="S170" s="101">
        <f t="shared" si="19"/>
        <v>-18000</v>
      </c>
      <c r="T170" s="104">
        <f t="shared" si="20"/>
        <v>14361.2</v>
      </c>
      <c r="U170" s="62">
        <f t="shared" si="21"/>
        <v>47</v>
      </c>
      <c r="V170" s="62" t="str">
        <f t="shared" si="22"/>
        <v>$400-500K</v>
      </c>
      <c r="W170" s="62" t="str">
        <f t="shared" si="23"/>
        <v/>
      </c>
      <c r="X170" s="62"/>
    </row>
    <row r="171" spans="1:24" x14ac:dyDescent="0.35">
      <c r="A171" s="62">
        <v>10046</v>
      </c>
      <c r="B171" s="98">
        <v>46052</v>
      </c>
      <c r="C171" s="62" t="s">
        <v>73</v>
      </c>
      <c r="D171" s="62" t="s">
        <v>26</v>
      </c>
      <c r="E171" s="62">
        <v>1</v>
      </c>
      <c r="F171" s="62">
        <v>1.5</v>
      </c>
      <c r="G171" s="99">
        <v>960</v>
      </c>
      <c r="H171" s="99">
        <v>0</v>
      </c>
      <c r="I171" s="100">
        <v>1995</v>
      </c>
      <c r="J171" s="62">
        <v>1</v>
      </c>
      <c r="K171" s="62" t="s">
        <v>182</v>
      </c>
      <c r="L171" s="101">
        <v>325000</v>
      </c>
      <c r="M171" s="101">
        <v>316000</v>
      </c>
      <c r="N171" s="62">
        <v>31</v>
      </c>
      <c r="O171" s="102">
        <v>2.4700000000000002</v>
      </c>
      <c r="P171" s="103">
        <f t="shared" si="16"/>
        <v>46023</v>
      </c>
      <c r="Q171" s="104">
        <f t="shared" si="17"/>
        <v>329.16666666666669</v>
      </c>
      <c r="R171" s="105">
        <f t="shared" si="18"/>
        <v>0.97230769230769232</v>
      </c>
      <c r="S171" s="101">
        <f t="shared" si="19"/>
        <v>-9000</v>
      </c>
      <c r="T171" s="104">
        <f t="shared" si="20"/>
        <v>7805.2000000000007</v>
      </c>
      <c r="U171" s="62">
        <f t="shared" si="21"/>
        <v>31</v>
      </c>
      <c r="V171" s="62" t="str">
        <f t="shared" si="22"/>
        <v>$300-400K</v>
      </c>
      <c r="W171" s="62" t="str">
        <f t="shared" si="23"/>
        <v/>
      </c>
      <c r="X171" s="62" t="s">
        <v>471</v>
      </c>
    </row>
    <row r="172" spans="1:24" x14ac:dyDescent="0.35">
      <c r="A172" s="62">
        <v>10139</v>
      </c>
      <c r="B172" s="98">
        <v>46053</v>
      </c>
      <c r="C172" s="62" t="s">
        <v>73</v>
      </c>
      <c r="D172" s="62" t="s">
        <v>27</v>
      </c>
      <c r="E172" s="62">
        <v>5</v>
      </c>
      <c r="F172" s="62">
        <v>3.5</v>
      </c>
      <c r="G172" s="99">
        <v>2870</v>
      </c>
      <c r="H172" s="99">
        <v>6390</v>
      </c>
      <c r="I172" s="100">
        <v>2017</v>
      </c>
      <c r="J172" s="62">
        <v>1</v>
      </c>
      <c r="K172" s="62" t="s">
        <v>180</v>
      </c>
      <c r="L172" s="101">
        <v>791000</v>
      </c>
      <c r="M172" s="101">
        <v>777000</v>
      </c>
      <c r="N172" s="62">
        <v>76</v>
      </c>
      <c r="O172" s="102">
        <v>2.73</v>
      </c>
      <c r="P172" s="103">
        <f t="shared" si="16"/>
        <v>46023</v>
      </c>
      <c r="Q172" s="104">
        <f t="shared" si="17"/>
        <v>270.73170731707319</v>
      </c>
      <c r="R172" s="105">
        <f t="shared" si="18"/>
        <v>0.98230088495575218</v>
      </c>
      <c r="S172" s="101">
        <f t="shared" si="19"/>
        <v>-14000</v>
      </c>
      <c r="T172" s="104">
        <f t="shared" si="20"/>
        <v>21212.1</v>
      </c>
      <c r="U172" s="62">
        <f t="shared" si="21"/>
        <v>9</v>
      </c>
      <c r="V172" s="62" t="str">
        <f t="shared" si="22"/>
        <v>$600-800K</v>
      </c>
      <c r="W172" s="62" t="str">
        <f t="shared" si="23"/>
        <v>High price</v>
      </c>
      <c r="X172" s="62" t="s">
        <v>472</v>
      </c>
    </row>
    <row r="173" spans="1:24" x14ac:dyDescent="0.35">
      <c r="A173" s="62">
        <v>10164</v>
      </c>
      <c r="B173" s="98">
        <v>46055</v>
      </c>
      <c r="C173" s="62" t="s">
        <v>75</v>
      </c>
      <c r="D173" s="62" t="s">
        <v>26</v>
      </c>
      <c r="E173" s="62">
        <v>3</v>
      </c>
      <c r="F173" s="62">
        <v>2</v>
      </c>
      <c r="G173" s="99">
        <v>1940</v>
      </c>
      <c r="H173" s="99">
        <v>0</v>
      </c>
      <c r="I173" s="100">
        <v>1998</v>
      </c>
      <c r="J173" s="62">
        <v>0</v>
      </c>
      <c r="K173" s="62" t="s">
        <v>179</v>
      </c>
      <c r="L173" s="101">
        <v>536000</v>
      </c>
      <c r="M173" s="101">
        <v>503000</v>
      </c>
      <c r="N173" s="62">
        <v>55</v>
      </c>
      <c r="O173" s="102">
        <v>2.94</v>
      </c>
      <c r="P173" s="103">
        <f t="shared" si="16"/>
        <v>46054</v>
      </c>
      <c r="Q173" s="104">
        <f t="shared" si="17"/>
        <v>259.2783505154639</v>
      </c>
      <c r="R173" s="105">
        <f t="shared" si="18"/>
        <v>0.93843283582089554</v>
      </c>
      <c r="S173" s="101">
        <f t="shared" si="19"/>
        <v>-33000</v>
      </c>
      <c r="T173" s="104">
        <f t="shared" si="20"/>
        <v>14788.2</v>
      </c>
      <c r="U173" s="62">
        <f t="shared" si="21"/>
        <v>28</v>
      </c>
      <c r="V173" s="62" t="str">
        <f t="shared" si="22"/>
        <v>$500-600K</v>
      </c>
      <c r="W173" s="62" t="str">
        <f t="shared" si="23"/>
        <v/>
      </c>
      <c r="X173" s="62"/>
    </row>
    <row r="174" spans="1:24" x14ac:dyDescent="0.35">
      <c r="A174" s="62">
        <v>10079</v>
      </c>
      <c r="B174" s="98">
        <v>46056</v>
      </c>
      <c r="C174" s="62" t="s">
        <v>74</v>
      </c>
      <c r="D174" s="62" t="s">
        <v>28</v>
      </c>
      <c r="E174" s="62">
        <v>3</v>
      </c>
      <c r="F174" s="62">
        <v>2.5</v>
      </c>
      <c r="G174" s="99">
        <v>1580</v>
      </c>
      <c r="H174" s="99">
        <v>1420</v>
      </c>
      <c r="I174" s="100">
        <v>1964</v>
      </c>
      <c r="J174" s="62">
        <v>1</v>
      </c>
      <c r="K174" s="62" t="s">
        <v>179</v>
      </c>
      <c r="L174" s="101">
        <v>267000</v>
      </c>
      <c r="M174" s="101">
        <v>262000</v>
      </c>
      <c r="N174" s="62">
        <v>54</v>
      </c>
      <c r="O174" s="102">
        <v>3</v>
      </c>
      <c r="P174" s="103">
        <f t="shared" si="16"/>
        <v>46054</v>
      </c>
      <c r="Q174" s="104">
        <f t="shared" si="17"/>
        <v>165.82278481012659</v>
      </c>
      <c r="R174" s="105">
        <f t="shared" si="18"/>
        <v>0.98127340823970033</v>
      </c>
      <c r="S174" s="101">
        <f t="shared" si="19"/>
        <v>-5000</v>
      </c>
      <c r="T174" s="104">
        <f t="shared" si="20"/>
        <v>7860</v>
      </c>
      <c r="U174" s="62">
        <f t="shared" si="21"/>
        <v>62</v>
      </c>
      <c r="V174" s="62" t="str">
        <f t="shared" si="22"/>
        <v>$200-300K</v>
      </c>
      <c r="W174" s="62" t="str">
        <f t="shared" si="23"/>
        <v/>
      </c>
      <c r="X174" s="62"/>
    </row>
    <row r="175" spans="1:24" x14ac:dyDescent="0.35">
      <c r="A175" s="62">
        <v>10203</v>
      </c>
      <c r="B175" s="98">
        <v>46057</v>
      </c>
      <c r="C175" s="62" t="s">
        <v>74</v>
      </c>
      <c r="D175" s="62" t="s">
        <v>28</v>
      </c>
      <c r="E175" s="62">
        <v>3</v>
      </c>
      <c r="F175" s="62">
        <v>3</v>
      </c>
      <c r="G175" s="99">
        <v>1720</v>
      </c>
      <c r="H175" s="99">
        <v>1360</v>
      </c>
      <c r="I175" s="100">
        <v>1968</v>
      </c>
      <c r="J175" s="62">
        <v>2</v>
      </c>
      <c r="K175" s="62" t="s">
        <v>179</v>
      </c>
      <c r="L175" s="101">
        <v>314000</v>
      </c>
      <c r="M175" s="101">
        <v>292000</v>
      </c>
      <c r="N175" s="62">
        <v>36</v>
      </c>
      <c r="O175" s="102">
        <v>2.96</v>
      </c>
      <c r="P175" s="103">
        <f t="shared" si="16"/>
        <v>46054</v>
      </c>
      <c r="Q175" s="104">
        <f t="shared" si="17"/>
        <v>169.76744186046511</v>
      </c>
      <c r="R175" s="105">
        <f t="shared" si="18"/>
        <v>0.92993630573248409</v>
      </c>
      <c r="S175" s="101">
        <f t="shared" si="19"/>
        <v>-22000</v>
      </c>
      <c r="T175" s="104">
        <f t="shared" si="20"/>
        <v>8643.2000000000007</v>
      </c>
      <c r="U175" s="62">
        <f t="shared" si="21"/>
        <v>58</v>
      </c>
      <c r="V175" s="62" t="str">
        <f t="shared" si="22"/>
        <v>$200-300K</v>
      </c>
      <c r="W175" s="62" t="str">
        <f t="shared" si="23"/>
        <v/>
      </c>
      <c r="X175" s="62" t="s">
        <v>431</v>
      </c>
    </row>
    <row r="176" spans="1:24" x14ac:dyDescent="0.35">
      <c r="A176" s="62">
        <v>10119</v>
      </c>
      <c r="B176" s="98">
        <v>46060</v>
      </c>
      <c r="C176" s="62" t="s">
        <v>76</v>
      </c>
      <c r="D176" s="62" t="s">
        <v>27</v>
      </c>
      <c r="E176" s="62">
        <v>3</v>
      </c>
      <c r="F176" s="62">
        <v>2</v>
      </c>
      <c r="G176" s="99">
        <v>1360</v>
      </c>
      <c r="H176" s="99">
        <v>6390</v>
      </c>
      <c r="I176" s="100">
        <v>2021</v>
      </c>
      <c r="J176" s="62">
        <v>2</v>
      </c>
      <c r="K176" s="62" t="s">
        <v>178</v>
      </c>
      <c r="L176" s="101">
        <v>400000</v>
      </c>
      <c r="M176" s="101">
        <v>381000</v>
      </c>
      <c r="N176" s="62">
        <v>73</v>
      </c>
      <c r="O176" s="102">
        <v>3</v>
      </c>
      <c r="P176" s="103">
        <f t="shared" si="16"/>
        <v>46054</v>
      </c>
      <c r="Q176" s="104">
        <f t="shared" si="17"/>
        <v>280.14705882352939</v>
      </c>
      <c r="R176" s="105">
        <f t="shared" si="18"/>
        <v>0.95250000000000001</v>
      </c>
      <c r="S176" s="101">
        <f t="shared" si="19"/>
        <v>-19000</v>
      </c>
      <c r="T176" s="104">
        <f t="shared" si="20"/>
        <v>11430</v>
      </c>
      <c r="U176" s="62">
        <f t="shared" si="21"/>
        <v>5</v>
      </c>
      <c r="V176" s="62" t="str">
        <f t="shared" si="22"/>
        <v>$300-400K</v>
      </c>
      <c r="W176" s="62" t="str">
        <f t="shared" si="23"/>
        <v/>
      </c>
      <c r="X176" s="62" t="s">
        <v>444</v>
      </c>
    </row>
    <row r="177" spans="1:24" x14ac:dyDescent="0.35">
      <c r="A177" s="62">
        <v>10228</v>
      </c>
      <c r="B177" s="98">
        <v>46062</v>
      </c>
      <c r="C177" s="62" t="s">
        <v>74</v>
      </c>
      <c r="D177" s="62" t="s">
        <v>27</v>
      </c>
      <c r="E177" s="62">
        <v>5</v>
      </c>
      <c r="F177" s="62">
        <v>3.5</v>
      </c>
      <c r="G177" s="99">
        <v>2640</v>
      </c>
      <c r="H177" s="99">
        <v>6380</v>
      </c>
      <c r="I177" s="100"/>
      <c r="J177" s="62">
        <v>2</v>
      </c>
      <c r="K177" s="62" t="s">
        <v>179</v>
      </c>
      <c r="L177" s="101">
        <v>444000</v>
      </c>
      <c r="M177" s="101">
        <v>436000</v>
      </c>
      <c r="N177" s="62">
        <v>39</v>
      </c>
      <c r="O177" s="102">
        <v>2.8</v>
      </c>
      <c r="P177" s="103">
        <f t="shared" si="16"/>
        <v>46054</v>
      </c>
      <c r="Q177" s="104">
        <f t="shared" si="17"/>
        <v>165.15151515151516</v>
      </c>
      <c r="R177" s="105">
        <f t="shared" si="18"/>
        <v>0.98198198198198194</v>
      </c>
      <c r="S177" s="101">
        <f t="shared" si="19"/>
        <v>-8000</v>
      </c>
      <c r="T177" s="104">
        <f t="shared" si="20"/>
        <v>12208</v>
      </c>
      <c r="U177" s="62" t="str">
        <f t="shared" si="21"/>
        <v/>
      </c>
      <c r="V177" s="62" t="str">
        <f t="shared" si="22"/>
        <v>$400-500K</v>
      </c>
      <c r="W177" s="62" t="str">
        <f t="shared" si="23"/>
        <v/>
      </c>
      <c r="X177" s="62" t="s">
        <v>434</v>
      </c>
    </row>
    <row r="178" spans="1:24" x14ac:dyDescent="0.35">
      <c r="A178" s="62">
        <v>10130</v>
      </c>
      <c r="B178" s="98">
        <v>46067</v>
      </c>
      <c r="C178" s="62" t="s">
        <v>74</v>
      </c>
      <c r="D178" s="62" t="s">
        <v>28</v>
      </c>
      <c r="E178" s="62">
        <v>4</v>
      </c>
      <c r="F178" s="62">
        <v>2.5</v>
      </c>
      <c r="G178" s="99">
        <v>2090</v>
      </c>
      <c r="H178" s="99">
        <v>1280</v>
      </c>
      <c r="I178" s="100">
        <v>1994</v>
      </c>
      <c r="J178" s="62">
        <v>2</v>
      </c>
      <c r="K178" s="62" t="s">
        <v>179</v>
      </c>
      <c r="L178" s="101">
        <v>355000</v>
      </c>
      <c r="M178" s="101">
        <v>339000</v>
      </c>
      <c r="N178" s="62"/>
      <c r="O178" s="102">
        <v>3.01</v>
      </c>
      <c r="P178" s="103">
        <f t="shared" si="16"/>
        <v>46054</v>
      </c>
      <c r="Q178" s="104">
        <f t="shared" si="17"/>
        <v>162.20095693779905</v>
      </c>
      <c r="R178" s="105">
        <f t="shared" si="18"/>
        <v>0.95492957746478868</v>
      </c>
      <c r="S178" s="101">
        <f t="shared" si="19"/>
        <v>-16000</v>
      </c>
      <c r="T178" s="104">
        <f t="shared" si="20"/>
        <v>10203.9</v>
      </c>
      <c r="U178" s="62">
        <f t="shared" si="21"/>
        <v>32</v>
      </c>
      <c r="V178" s="62" t="str">
        <f t="shared" si="22"/>
        <v>$300-400K</v>
      </c>
      <c r="W178" s="62" t="str">
        <f t="shared" si="23"/>
        <v/>
      </c>
      <c r="X178" s="62" t="s">
        <v>439</v>
      </c>
    </row>
    <row r="179" spans="1:24" x14ac:dyDescent="0.35">
      <c r="A179" s="62">
        <v>10102</v>
      </c>
      <c r="B179" s="98">
        <v>46069</v>
      </c>
      <c r="C179" s="62" t="s">
        <v>73</v>
      </c>
      <c r="D179" s="62" t="s">
        <v>27</v>
      </c>
      <c r="E179" s="62">
        <v>4</v>
      </c>
      <c r="F179" s="62">
        <v>2</v>
      </c>
      <c r="G179" s="99">
        <v>2190</v>
      </c>
      <c r="H179" s="99">
        <v>8410</v>
      </c>
      <c r="I179" s="100">
        <v>2000</v>
      </c>
      <c r="J179" s="62">
        <v>2</v>
      </c>
      <c r="K179" s="62" t="s">
        <v>182</v>
      </c>
      <c r="L179" s="101">
        <v>658000</v>
      </c>
      <c r="M179" s="101">
        <v>638000</v>
      </c>
      <c r="N179" s="62">
        <v>101</v>
      </c>
      <c r="O179" s="102">
        <v>2.98</v>
      </c>
      <c r="P179" s="103">
        <f t="shared" si="16"/>
        <v>46054</v>
      </c>
      <c r="Q179" s="104">
        <f t="shared" si="17"/>
        <v>291.32420091324201</v>
      </c>
      <c r="R179" s="105">
        <f t="shared" si="18"/>
        <v>0.96960486322188455</v>
      </c>
      <c r="S179" s="101">
        <f t="shared" si="19"/>
        <v>-20000</v>
      </c>
      <c r="T179" s="104">
        <f t="shared" si="20"/>
        <v>19012.400000000001</v>
      </c>
      <c r="U179" s="62">
        <f t="shared" si="21"/>
        <v>26</v>
      </c>
      <c r="V179" s="62" t="str">
        <f t="shared" si="22"/>
        <v>$600-800K</v>
      </c>
      <c r="W179" s="62" t="str">
        <f t="shared" si="23"/>
        <v/>
      </c>
      <c r="X179" s="62" t="s">
        <v>449</v>
      </c>
    </row>
    <row r="180" spans="1:24" x14ac:dyDescent="0.35">
      <c r="A180" s="62">
        <v>10005</v>
      </c>
      <c r="B180" s="98">
        <v>46070</v>
      </c>
      <c r="C180" s="62" t="s">
        <v>75</v>
      </c>
      <c r="D180" s="62" t="s">
        <v>27</v>
      </c>
      <c r="E180" s="62">
        <v>3</v>
      </c>
      <c r="F180" s="62">
        <v>2</v>
      </c>
      <c r="G180" s="99">
        <v>1910</v>
      </c>
      <c r="H180" s="99">
        <v>7220</v>
      </c>
      <c r="I180" s="100">
        <v>2002</v>
      </c>
      <c r="J180" s="62">
        <v>2</v>
      </c>
      <c r="K180" s="62" t="s">
        <v>180</v>
      </c>
      <c r="L180" s="101">
        <v>484000</v>
      </c>
      <c r="M180" s="101">
        <v>473000</v>
      </c>
      <c r="N180" s="62">
        <v>55</v>
      </c>
      <c r="O180" s="102">
        <v>2.92</v>
      </c>
      <c r="P180" s="103">
        <f t="shared" si="16"/>
        <v>46054</v>
      </c>
      <c r="Q180" s="104">
        <f t="shared" si="17"/>
        <v>247.64397905759162</v>
      </c>
      <c r="R180" s="105">
        <f t="shared" si="18"/>
        <v>0.97727272727272729</v>
      </c>
      <c r="S180" s="101">
        <f t="shared" si="19"/>
        <v>-11000</v>
      </c>
      <c r="T180" s="104">
        <f t="shared" si="20"/>
        <v>13811.6</v>
      </c>
      <c r="U180" s="62">
        <f t="shared" si="21"/>
        <v>24</v>
      </c>
      <c r="V180" s="62" t="str">
        <f t="shared" si="22"/>
        <v>$400-500K</v>
      </c>
      <c r="W180" s="62" t="str">
        <f t="shared" si="23"/>
        <v/>
      </c>
      <c r="X180" s="62"/>
    </row>
    <row r="181" spans="1:24" x14ac:dyDescent="0.35">
      <c r="A181" s="62">
        <v>10009</v>
      </c>
      <c r="B181" s="98">
        <v>46078</v>
      </c>
      <c r="C181" s="62" t="s">
        <v>75</v>
      </c>
      <c r="D181" s="62" t="s">
        <v>27</v>
      </c>
      <c r="E181" s="62">
        <v>4</v>
      </c>
      <c r="F181" s="62">
        <v>3.5</v>
      </c>
      <c r="G181" s="99">
        <v>1930</v>
      </c>
      <c r="H181" s="99">
        <v>6390</v>
      </c>
      <c r="I181" s="100">
        <v>1952</v>
      </c>
      <c r="J181" s="62">
        <v>1</v>
      </c>
      <c r="K181" s="62" t="s">
        <v>178</v>
      </c>
      <c r="L181" s="101">
        <v>496000</v>
      </c>
      <c r="M181" s="101">
        <v>490000</v>
      </c>
      <c r="N181" s="62">
        <v>61</v>
      </c>
      <c r="O181" s="102">
        <v>2.77</v>
      </c>
      <c r="P181" s="103">
        <f t="shared" si="16"/>
        <v>46054</v>
      </c>
      <c r="Q181" s="104">
        <f t="shared" si="17"/>
        <v>253.88601036269429</v>
      </c>
      <c r="R181" s="105">
        <f t="shared" si="18"/>
        <v>0.98790322580645162</v>
      </c>
      <c r="S181" s="101">
        <f t="shared" si="19"/>
        <v>-6000</v>
      </c>
      <c r="T181" s="104">
        <f t="shared" si="20"/>
        <v>13573</v>
      </c>
      <c r="U181" s="62">
        <f t="shared" si="21"/>
        <v>74</v>
      </c>
      <c r="V181" s="62" t="str">
        <f t="shared" si="22"/>
        <v>$400-500K</v>
      </c>
      <c r="W181" s="62" t="str">
        <f t="shared" si="23"/>
        <v/>
      </c>
      <c r="X181" s="62" t="s">
        <v>473</v>
      </c>
    </row>
    <row r="182" spans="1:24" x14ac:dyDescent="0.35">
      <c r="A182" s="62">
        <v>10010</v>
      </c>
      <c r="B182" s="98">
        <v>46094</v>
      </c>
      <c r="C182" s="62" t="s">
        <v>76</v>
      </c>
      <c r="D182" s="62" t="s">
        <v>27</v>
      </c>
      <c r="E182" s="62">
        <v>5</v>
      </c>
      <c r="F182" s="62">
        <v>3</v>
      </c>
      <c r="G182" s="99">
        <v>2300</v>
      </c>
      <c r="H182" s="99">
        <v>6390</v>
      </c>
      <c r="I182" s="100">
        <v>1968</v>
      </c>
      <c r="J182" s="62">
        <v>1</v>
      </c>
      <c r="K182" s="62" t="s">
        <v>178</v>
      </c>
      <c r="L182" s="101">
        <v>527000</v>
      </c>
      <c r="M182" s="101">
        <v>519000</v>
      </c>
      <c r="N182" s="62">
        <v>42</v>
      </c>
      <c r="O182" s="102">
        <v>2.66</v>
      </c>
      <c r="P182" s="103">
        <f t="shared" si="16"/>
        <v>46082</v>
      </c>
      <c r="Q182" s="104">
        <f t="shared" si="17"/>
        <v>225.65217391304347</v>
      </c>
      <c r="R182" s="105">
        <f t="shared" si="18"/>
        <v>0.98481973434535108</v>
      </c>
      <c r="S182" s="101">
        <f t="shared" si="19"/>
        <v>-8000</v>
      </c>
      <c r="T182" s="104">
        <f t="shared" si="20"/>
        <v>13805.4</v>
      </c>
      <c r="U182" s="62">
        <f t="shared" si="21"/>
        <v>58</v>
      </c>
      <c r="V182" s="62" t="str">
        <f t="shared" si="22"/>
        <v>$500-600K</v>
      </c>
      <c r="W182" s="62" t="str">
        <f t="shared" si="23"/>
        <v/>
      </c>
      <c r="X182" s="62" t="s">
        <v>444</v>
      </c>
    </row>
    <row r="183" spans="1:24" x14ac:dyDescent="0.35">
      <c r="A183" s="62">
        <v>10241</v>
      </c>
      <c r="B183" s="98">
        <v>46095</v>
      </c>
      <c r="C183" s="62" t="s">
        <v>72</v>
      </c>
      <c r="D183" s="62" t="s">
        <v>28</v>
      </c>
      <c r="E183" s="62">
        <v>4</v>
      </c>
      <c r="F183" s="62">
        <v>3</v>
      </c>
      <c r="G183" s="99">
        <v>1980</v>
      </c>
      <c r="H183" s="99">
        <v>2040</v>
      </c>
      <c r="I183" s="100">
        <v>2012</v>
      </c>
      <c r="J183" s="62">
        <v>2</v>
      </c>
      <c r="K183" s="62" t="s">
        <v>179</v>
      </c>
      <c r="L183" s="101">
        <v>326000</v>
      </c>
      <c r="M183" s="101">
        <v>317000</v>
      </c>
      <c r="N183" s="62">
        <v>60</v>
      </c>
      <c r="O183" s="102">
        <v>2.4700000000000002</v>
      </c>
      <c r="P183" s="103">
        <f t="shared" si="16"/>
        <v>46082</v>
      </c>
      <c r="Q183" s="104">
        <f t="shared" si="17"/>
        <v>160.1010101010101</v>
      </c>
      <c r="R183" s="105">
        <f t="shared" si="18"/>
        <v>0.97239263803680986</v>
      </c>
      <c r="S183" s="101">
        <f t="shared" si="19"/>
        <v>-9000</v>
      </c>
      <c r="T183" s="104">
        <f t="shared" si="20"/>
        <v>7829.9000000000015</v>
      </c>
      <c r="U183" s="62">
        <f t="shared" si="21"/>
        <v>14</v>
      </c>
      <c r="V183" s="62" t="str">
        <f t="shared" si="22"/>
        <v>$300-400K</v>
      </c>
      <c r="W183" s="62" t="str">
        <f t="shared" si="23"/>
        <v/>
      </c>
      <c r="X183" s="62" t="s">
        <v>460</v>
      </c>
    </row>
    <row r="184" spans="1:24" x14ac:dyDescent="0.35">
      <c r="A184" s="62">
        <v>10050</v>
      </c>
      <c r="B184" s="98">
        <v>46097</v>
      </c>
      <c r="C184" s="62" t="s">
        <v>75</v>
      </c>
      <c r="D184" s="62" t="s">
        <v>28</v>
      </c>
      <c r="E184" s="62">
        <v>2</v>
      </c>
      <c r="F184" s="62">
        <v>2</v>
      </c>
      <c r="G184" s="99">
        <v>1330</v>
      </c>
      <c r="H184" s="99">
        <v>1900</v>
      </c>
      <c r="I184" s="100">
        <v>1974</v>
      </c>
      <c r="J184" s="62">
        <v>1</v>
      </c>
      <c r="K184" s="62" t="s">
        <v>180</v>
      </c>
      <c r="L184" s="101">
        <v>305000</v>
      </c>
      <c r="M184" s="101">
        <v>302000</v>
      </c>
      <c r="N184" s="62">
        <v>66</v>
      </c>
      <c r="O184" s="102">
        <v>2.74</v>
      </c>
      <c r="P184" s="103">
        <f t="shared" si="16"/>
        <v>46082</v>
      </c>
      <c r="Q184" s="104">
        <f t="shared" si="17"/>
        <v>227.06766917293234</v>
      </c>
      <c r="R184" s="105">
        <f t="shared" si="18"/>
        <v>0.99016393442622952</v>
      </c>
      <c r="S184" s="101">
        <f t="shared" si="19"/>
        <v>-3000</v>
      </c>
      <c r="T184" s="104">
        <f t="shared" si="20"/>
        <v>8274.8000000000011</v>
      </c>
      <c r="U184" s="62">
        <f t="shared" si="21"/>
        <v>52</v>
      </c>
      <c r="V184" s="62" t="str">
        <f t="shared" si="22"/>
        <v>$300-400K</v>
      </c>
      <c r="W184" s="62" t="str">
        <f t="shared" si="23"/>
        <v/>
      </c>
      <c r="X184" s="62" t="s">
        <v>431</v>
      </c>
    </row>
    <row r="185" spans="1:24" x14ac:dyDescent="0.35">
      <c r="A185" s="62">
        <v>10207</v>
      </c>
      <c r="B185" s="98">
        <v>46097</v>
      </c>
      <c r="C185" s="62" t="s">
        <v>75</v>
      </c>
      <c r="D185" s="62" t="s">
        <v>26</v>
      </c>
      <c r="E185" s="62">
        <v>2</v>
      </c>
      <c r="F185" s="62">
        <v>1.5</v>
      </c>
      <c r="G185" s="99">
        <v>1350</v>
      </c>
      <c r="H185" s="99">
        <v>0</v>
      </c>
      <c r="I185" s="100">
        <v>1970</v>
      </c>
      <c r="J185" s="62">
        <v>1</v>
      </c>
      <c r="K185" s="62" t="s">
        <v>179</v>
      </c>
      <c r="L185" s="101">
        <v>312000</v>
      </c>
      <c r="M185" s="101">
        <v>312000</v>
      </c>
      <c r="N185" s="62">
        <v>53</v>
      </c>
      <c r="O185" s="102">
        <v>3.04</v>
      </c>
      <c r="P185" s="103">
        <f t="shared" si="16"/>
        <v>46082</v>
      </c>
      <c r="Q185" s="104">
        <f t="shared" si="17"/>
        <v>231.11111111111111</v>
      </c>
      <c r="R185" s="105">
        <f t="shared" si="18"/>
        <v>1</v>
      </c>
      <c r="S185" s="101">
        <f t="shared" si="19"/>
        <v>0</v>
      </c>
      <c r="T185" s="104">
        <f t="shared" si="20"/>
        <v>9484.7999999999993</v>
      </c>
      <c r="U185" s="62">
        <f t="shared" si="21"/>
        <v>56</v>
      </c>
      <c r="V185" s="62" t="str">
        <f t="shared" si="22"/>
        <v>$300-400K</v>
      </c>
      <c r="W185" s="62" t="str">
        <f t="shared" si="23"/>
        <v/>
      </c>
      <c r="X185" s="62" t="s">
        <v>433</v>
      </c>
    </row>
    <row r="186" spans="1:24" x14ac:dyDescent="0.35">
      <c r="A186" s="62">
        <v>10077</v>
      </c>
      <c r="B186" s="98">
        <v>46099</v>
      </c>
      <c r="C186" s="62" t="s">
        <v>76</v>
      </c>
      <c r="D186" s="62" t="s">
        <v>28</v>
      </c>
      <c r="E186" s="62">
        <v>3</v>
      </c>
      <c r="F186" s="62">
        <v>3</v>
      </c>
      <c r="G186" s="99">
        <v>1870</v>
      </c>
      <c r="H186" s="99">
        <v>1800</v>
      </c>
      <c r="I186" s="100"/>
      <c r="J186" s="62">
        <v>1</v>
      </c>
      <c r="K186" s="62" t="s">
        <v>178</v>
      </c>
      <c r="L186" s="101">
        <v>524000</v>
      </c>
      <c r="M186" s="101">
        <v>514000</v>
      </c>
      <c r="N186" s="62">
        <v>42</v>
      </c>
      <c r="O186" s="102">
        <v>2.74</v>
      </c>
      <c r="P186" s="103">
        <f t="shared" si="16"/>
        <v>46082</v>
      </c>
      <c r="Q186" s="104">
        <f t="shared" si="17"/>
        <v>274.86631016042782</v>
      </c>
      <c r="R186" s="105">
        <f t="shared" si="18"/>
        <v>0.98091603053435117</v>
      </c>
      <c r="S186" s="101">
        <f t="shared" si="19"/>
        <v>-10000</v>
      </c>
      <c r="T186" s="104">
        <f t="shared" si="20"/>
        <v>14083.6</v>
      </c>
      <c r="U186" s="62" t="str">
        <f t="shared" si="21"/>
        <v/>
      </c>
      <c r="V186" s="62" t="str">
        <f t="shared" si="22"/>
        <v>$500-600K</v>
      </c>
      <c r="W186" s="62" t="str">
        <f t="shared" si="23"/>
        <v/>
      </c>
      <c r="X186" s="62" t="s">
        <v>474</v>
      </c>
    </row>
    <row r="187" spans="1:24" x14ac:dyDescent="0.35">
      <c r="A187" s="62">
        <v>10068</v>
      </c>
      <c r="B187" s="98">
        <v>46101</v>
      </c>
      <c r="C187" s="62" t="s">
        <v>76</v>
      </c>
      <c r="D187" s="62" t="s">
        <v>28</v>
      </c>
      <c r="E187" s="62">
        <v>3</v>
      </c>
      <c r="F187" s="62">
        <v>2.5</v>
      </c>
      <c r="G187" s="99">
        <v>1710</v>
      </c>
      <c r="H187" s="99">
        <v>1850</v>
      </c>
      <c r="I187" s="100">
        <v>2010</v>
      </c>
      <c r="J187" s="62">
        <v>3</v>
      </c>
      <c r="K187" s="62" t="s">
        <v>180</v>
      </c>
      <c r="L187" s="101">
        <v>348000</v>
      </c>
      <c r="M187" s="101">
        <v>346000</v>
      </c>
      <c r="N187" s="62">
        <v>61</v>
      </c>
      <c r="O187" s="102">
        <v>3.33</v>
      </c>
      <c r="P187" s="103">
        <f t="shared" si="16"/>
        <v>46082</v>
      </c>
      <c r="Q187" s="104">
        <f t="shared" si="17"/>
        <v>202.33918128654972</v>
      </c>
      <c r="R187" s="105">
        <f t="shared" si="18"/>
        <v>0.99425287356321834</v>
      </c>
      <c r="S187" s="101">
        <f t="shared" si="19"/>
        <v>-2000</v>
      </c>
      <c r="T187" s="104">
        <f t="shared" si="20"/>
        <v>11521.8</v>
      </c>
      <c r="U187" s="62">
        <f t="shared" si="21"/>
        <v>16</v>
      </c>
      <c r="V187" s="62" t="str">
        <f t="shared" si="22"/>
        <v>$300-400K</v>
      </c>
      <c r="W187" s="62" t="str">
        <f t="shared" si="23"/>
        <v/>
      </c>
      <c r="X187" s="62" t="s">
        <v>441</v>
      </c>
    </row>
    <row r="188" spans="1:24" x14ac:dyDescent="0.35">
      <c r="A188" s="62">
        <v>10108</v>
      </c>
      <c r="B188" s="98">
        <v>46101</v>
      </c>
      <c r="C188" s="62" t="s">
        <v>76</v>
      </c>
      <c r="D188" s="62" t="s">
        <v>28</v>
      </c>
      <c r="E188" s="62">
        <v>3</v>
      </c>
      <c r="F188" s="62">
        <v>3</v>
      </c>
      <c r="G188" s="99">
        <v>1770</v>
      </c>
      <c r="H188" s="99">
        <v>1960</v>
      </c>
      <c r="I188" s="100">
        <v>1992</v>
      </c>
      <c r="J188" s="62">
        <v>2</v>
      </c>
      <c r="K188" s="62" t="s">
        <v>179</v>
      </c>
      <c r="L188" s="101">
        <v>351000</v>
      </c>
      <c r="M188" s="101">
        <v>338000</v>
      </c>
      <c r="N188" s="62">
        <v>43</v>
      </c>
      <c r="O188" s="102">
        <v>3.11</v>
      </c>
      <c r="P188" s="103">
        <f t="shared" si="16"/>
        <v>46082</v>
      </c>
      <c r="Q188" s="104">
        <f t="shared" si="17"/>
        <v>190.96045197740114</v>
      </c>
      <c r="R188" s="105">
        <f t="shared" si="18"/>
        <v>0.96296296296296291</v>
      </c>
      <c r="S188" s="101">
        <f t="shared" si="19"/>
        <v>-13000</v>
      </c>
      <c r="T188" s="104">
        <f t="shared" si="20"/>
        <v>10511.8</v>
      </c>
      <c r="U188" s="62">
        <f t="shared" si="21"/>
        <v>34</v>
      </c>
      <c r="V188" s="62" t="str">
        <f t="shared" si="22"/>
        <v>$300-400K</v>
      </c>
      <c r="W188" s="62" t="str">
        <f t="shared" si="23"/>
        <v/>
      </c>
      <c r="X188" s="62" t="s">
        <v>431</v>
      </c>
    </row>
    <row r="189" spans="1:24" x14ac:dyDescent="0.35">
      <c r="A189" s="62">
        <v>10160</v>
      </c>
      <c r="B189" s="98">
        <v>46105</v>
      </c>
      <c r="C189" s="62" t="s">
        <v>73</v>
      </c>
      <c r="D189" s="62" t="s">
        <v>26</v>
      </c>
      <c r="E189" s="62">
        <v>1</v>
      </c>
      <c r="F189" s="62">
        <v>1</v>
      </c>
      <c r="G189" s="99">
        <v>750</v>
      </c>
      <c r="H189" s="99">
        <v>0</v>
      </c>
      <c r="I189" s="100">
        <v>1991</v>
      </c>
      <c r="J189" s="62">
        <v>0</v>
      </c>
      <c r="K189" s="62" t="s">
        <v>180</v>
      </c>
      <c r="L189" s="101">
        <v>217000</v>
      </c>
      <c r="M189" s="101">
        <v>215000</v>
      </c>
      <c r="N189" s="62">
        <v>57</v>
      </c>
      <c r="O189" s="102">
        <v>2.78</v>
      </c>
      <c r="P189" s="103">
        <f t="shared" si="16"/>
        <v>46082</v>
      </c>
      <c r="Q189" s="104">
        <f t="shared" si="17"/>
        <v>286.66666666666669</v>
      </c>
      <c r="R189" s="105">
        <f t="shared" si="18"/>
        <v>0.99078341013824889</v>
      </c>
      <c r="S189" s="101">
        <f t="shared" si="19"/>
        <v>-2000</v>
      </c>
      <c r="T189" s="104">
        <f t="shared" si="20"/>
        <v>5977</v>
      </c>
      <c r="U189" s="62">
        <f t="shared" si="21"/>
        <v>35</v>
      </c>
      <c r="V189" s="62" t="str">
        <f t="shared" si="22"/>
        <v>$200-300K</v>
      </c>
      <c r="W189" s="62" t="str">
        <f t="shared" si="23"/>
        <v/>
      </c>
      <c r="X189" s="62" t="s">
        <v>436</v>
      </c>
    </row>
    <row r="190" spans="1:24" x14ac:dyDescent="0.35">
      <c r="A190" s="62">
        <v>10086</v>
      </c>
      <c r="B190" s="98">
        <v>46106</v>
      </c>
      <c r="C190" s="62" t="s">
        <v>75</v>
      </c>
      <c r="D190" s="62" t="s">
        <v>27</v>
      </c>
      <c r="E190" s="62">
        <v>4</v>
      </c>
      <c r="F190" s="62">
        <v>3</v>
      </c>
      <c r="G190" s="99">
        <v>2130</v>
      </c>
      <c r="H190" s="99">
        <v>6460</v>
      </c>
      <c r="I190" s="100">
        <v>2011</v>
      </c>
      <c r="J190" s="62">
        <v>3</v>
      </c>
      <c r="K190" s="62" t="s">
        <v>178</v>
      </c>
      <c r="L190" s="101">
        <v>698000</v>
      </c>
      <c r="M190" s="101">
        <v>642000</v>
      </c>
      <c r="N190" s="62">
        <v>81</v>
      </c>
      <c r="O190" s="102">
        <v>3.03</v>
      </c>
      <c r="P190" s="103">
        <f t="shared" si="16"/>
        <v>46082</v>
      </c>
      <c r="Q190" s="104">
        <f t="shared" si="17"/>
        <v>301.40845070422534</v>
      </c>
      <c r="R190" s="105">
        <f t="shared" si="18"/>
        <v>0.91977077363896853</v>
      </c>
      <c r="S190" s="101">
        <f t="shared" si="19"/>
        <v>-56000</v>
      </c>
      <c r="T190" s="104">
        <f t="shared" si="20"/>
        <v>19452.599999999999</v>
      </c>
      <c r="U190" s="62">
        <f t="shared" si="21"/>
        <v>15</v>
      </c>
      <c r="V190" s="62" t="str">
        <f t="shared" si="22"/>
        <v>$600-800K</v>
      </c>
      <c r="W190" s="62" t="str">
        <f t="shared" si="23"/>
        <v/>
      </c>
      <c r="X190" s="62"/>
    </row>
    <row r="191" spans="1:24" x14ac:dyDescent="0.35">
      <c r="A191" s="62">
        <v>10107</v>
      </c>
      <c r="B191" s="98">
        <v>46108</v>
      </c>
      <c r="C191" s="62" t="s">
        <v>76</v>
      </c>
      <c r="D191" s="62" t="s">
        <v>28</v>
      </c>
      <c r="E191" s="62">
        <v>2</v>
      </c>
      <c r="F191" s="62">
        <v>1.5</v>
      </c>
      <c r="G191" s="99">
        <v>1110</v>
      </c>
      <c r="H191" s="99">
        <v>1280</v>
      </c>
      <c r="I191" s="100">
        <v>2014</v>
      </c>
      <c r="J191" s="62">
        <v>2</v>
      </c>
      <c r="K191" s="62" t="s">
        <v>179</v>
      </c>
      <c r="L191" s="101">
        <v>278000</v>
      </c>
      <c r="M191" s="101">
        <v>274000</v>
      </c>
      <c r="N191" s="62">
        <v>33</v>
      </c>
      <c r="O191" s="102">
        <v>3.24</v>
      </c>
      <c r="P191" s="103">
        <f t="shared" si="16"/>
        <v>46082</v>
      </c>
      <c r="Q191" s="104">
        <f t="shared" si="17"/>
        <v>246.84684684684686</v>
      </c>
      <c r="R191" s="105">
        <f t="shared" si="18"/>
        <v>0.98561151079136688</v>
      </c>
      <c r="S191" s="101">
        <f t="shared" si="19"/>
        <v>-4000</v>
      </c>
      <c r="T191" s="104">
        <f t="shared" si="20"/>
        <v>8877.6</v>
      </c>
      <c r="U191" s="62">
        <f t="shared" si="21"/>
        <v>12</v>
      </c>
      <c r="V191" s="62" t="str">
        <f t="shared" si="22"/>
        <v>$200-300K</v>
      </c>
      <c r="W191" s="62" t="str">
        <f t="shared" si="23"/>
        <v/>
      </c>
      <c r="X191" s="62" t="s">
        <v>450</v>
      </c>
    </row>
    <row r="192" spans="1:24" x14ac:dyDescent="0.35">
      <c r="A192" s="62">
        <v>10141</v>
      </c>
      <c r="B192" s="98">
        <v>46113</v>
      </c>
      <c r="C192" s="62" t="s">
        <v>74</v>
      </c>
      <c r="D192" s="62" t="s">
        <v>28</v>
      </c>
      <c r="E192" s="62">
        <v>3</v>
      </c>
      <c r="F192" s="62">
        <v>2</v>
      </c>
      <c r="G192" s="99">
        <v>1730</v>
      </c>
      <c r="H192" s="99">
        <v>2790</v>
      </c>
      <c r="I192" s="100">
        <v>2018</v>
      </c>
      <c r="J192" s="62">
        <v>2</v>
      </c>
      <c r="K192" s="62" t="s">
        <v>179</v>
      </c>
      <c r="L192" s="101">
        <v>349000</v>
      </c>
      <c r="M192" s="101">
        <v>344000</v>
      </c>
      <c r="N192" s="62">
        <v>53</v>
      </c>
      <c r="O192" s="102">
        <v>3.1</v>
      </c>
      <c r="P192" s="103">
        <f t="shared" si="16"/>
        <v>46113</v>
      </c>
      <c r="Q192" s="104">
        <f t="shared" si="17"/>
        <v>198.84393063583815</v>
      </c>
      <c r="R192" s="105">
        <f t="shared" si="18"/>
        <v>0.98567335243553011</v>
      </c>
      <c r="S192" s="101">
        <f t="shared" si="19"/>
        <v>-5000</v>
      </c>
      <c r="T192" s="104">
        <f t="shared" si="20"/>
        <v>10664</v>
      </c>
      <c r="U192" s="62">
        <f t="shared" si="21"/>
        <v>8</v>
      </c>
      <c r="V192" s="62" t="str">
        <f t="shared" si="22"/>
        <v>$300-400K</v>
      </c>
      <c r="W192" s="62" t="str">
        <f t="shared" si="23"/>
        <v/>
      </c>
      <c r="X192" s="62"/>
    </row>
    <row r="193" spans="1:24" x14ac:dyDescent="0.35">
      <c r="A193" s="62">
        <v>10059</v>
      </c>
      <c r="B193" s="98">
        <v>46114</v>
      </c>
      <c r="C193" s="62" t="s">
        <v>75</v>
      </c>
      <c r="D193" s="62" t="s">
        <v>27</v>
      </c>
      <c r="E193" s="62">
        <v>2</v>
      </c>
      <c r="F193" s="62">
        <v>1.5</v>
      </c>
      <c r="G193" s="99">
        <v>1260</v>
      </c>
      <c r="H193" s="99">
        <v>3030</v>
      </c>
      <c r="I193" s="100">
        <v>1993</v>
      </c>
      <c r="J193" s="62">
        <v>3</v>
      </c>
      <c r="K193" s="62" t="s">
        <v>180</v>
      </c>
      <c r="L193" s="101">
        <v>347000</v>
      </c>
      <c r="M193" s="101">
        <v>342000</v>
      </c>
      <c r="N193" s="62">
        <v>76</v>
      </c>
      <c r="O193" s="102">
        <v>2.93</v>
      </c>
      <c r="P193" s="103">
        <f t="shared" si="16"/>
        <v>46113</v>
      </c>
      <c r="Q193" s="104">
        <f t="shared" si="17"/>
        <v>271.42857142857144</v>
      </c>
      <c r="R193" s="105">
        <f t="shared" si="18"/>
        <v>0.98559077809798268</v>
      </c>
      <c r="S193" s="101">
        <f t="shared" si="19"/>
        <v>-5000</v>
      </c>
      <c r="T193" s="104">
        <f t="shared" si="20"/>
        <v>10020.6</v>
      </c>
      <c r="U193" s="62">
        <f t="shared" si="21"/>
        <v>33</v>
      </c>
      <c r="V193" s="62" t="str">
        <f t="shared" si="22"/>
        <v>$300-400K</v>
      </c>
      <c r="W193" s="62" t="str">
        <f t="shared" si="23"/>
        <v/>
      </c>
      <c r="X193" s="62" t="s">
        <v>433</v>
      </c>
    </row>
    <row r="194" spans="1:24" x14ac:dyDescent="0.35">
      <c r="A194" s="62">
        <v>10025</v>
      </c>
      <c r="B194" s="98">
        <v>46116</v>
      </c>
      <c r="C194" s="62" t="s">
        <v>73</v>
      </c>
      <c r="D194" s="62" t="s">
        <v>26</v>
      </c>
      <c r="E194" s="62">
        <v>1</v>
      </c>
      <c r="F194" s="62">
        <v>1</v>
      </c>
      <c r="G194" s="99">
        <v>1010</v>
      </c>
      <c r="H194" s="99">
        <v>0</v>
      </c>
      <c r="I194" s="100">
        <v>2002</v>
      </c>
      <c r="J194" s="62">
        <v>0</v>
      </c>
      <c r="K194" s="62" t="s">
        <v>179</v>
      </c>
      <c r="L194" s="101">
        <v>267000</v>
      </c>
      <c r="M194" s="101">
        <v>265000</v>
      </c>
      <c r="N194" s="62">
        <v>41</v>
      </c>
      <c r="O194" s="102">
        <v>3</v>
      </c>
      <c r="P194" s="103">
        <f t="shared" ref="P194:P251" si="24">DATE(YEAR(B194),MONTH(B194),1)</f>
        <v>46113</v>
      </c>
      <c r="Q194" s="104">
        <f t="shared" ref="Q194:Q251" si="25">M194/G194</f>
        <v>262.37623762376239</v>
      </c>
      <c r="R194" s="105">
        <f t="shared" ref="R194:R251" si="26">M194/L194</f>
        <v>0.99250936329588013</v>
      </c>
      <c r="S194" s="101">
        <f t="shared" ref="S194:S251" si="27">M194-L194</f>
        <v>-2000</v>
      </c>
      <c r="T194" s="104">
        <f t="shared" ref="T194:T251" si="28">IF(O194="","",M194*O194/100)</f>
        <v>7950</v>
      </c>
      <c r="U194" s="62">
        <f t="shared" ref="U194:U251" si="29">IF(I194="","",YEAR(B194)-I194)</f>
        <v>24</v>
      </c>
      <c r="V194" s="62" t="str">
        <f t="shared" ref="V194:V251" si="30">LOOKUP(M194,bin_lo,bin_lbl)</f>
        <v>$200-300K</v>
      </c>
      <c r="W194" s="62" t="str">
        <f t="shared" ref="W194:W251" si="31">TRIM(IF(M194&gt;f_price_hi,"High price ","")&amp;IF(AND(N194&lt;&gt;"",N194&gt;f_dom_hi),"Long DOM ","")&amp;IF(OR(Q194&gt;f_psf_hi,Q194&lt;f_psf_lo),"$/sqft ",""))</f>
        <v/>
      </c>
      <c r="X194" s="62" t="s">
        <v>440</v>
      </c>
    </row>
    <row r="195" spans="1:24" x14ac:dyDescent="0.35">
      <c r="A195" s="62">
        <v>10004</v>
      </c>
      <c r="B195" s="98">
        <v>46122</v>
      </c>
      <c r="C195" s="62" t="s">
        <v>73</v>
      </c>
      <c r="D195" s="62" t="s">
        <v>26</v>
      </c>
      <c r="E195" s="62">
        <v>2</v>
      </c>
      <c r="F195" s="62">
        <v>1.5</v>
      </c>
      <c r="G195" s="99">
        <v>1390</v>
      </c>
      <c r="H195" s="99">
        <v>0</v>
      </c>
      <c r="I195" s="100">
        <v>1995</v>
      </c>
      <c r="J195" s="62">
        <v>1</v>
      </c>
      <c r="K195" s="62" t="s">
        <v>179</v>
      </c>
      <c r="L195" s="101">
        <v>422000</v>
      </c>
      <c r="M195" s="101">
        <v>419000</v>
      </c>
      <c r="N195" s="62">
        <v>34</v>
      </c>
      <c r="O195" s="102">
        <v>2.46</v>
      </c>
      <c r="P195" s="103">
        <f t="shared" si="24"/>
        <v>46113</v>
      </c>
      <c r="Q195" s="104">
        <f t="shared" si="25"/>
        <v>301.43884892086334</v>
      </c>
      <c r="R195" s="105">
        <f t="shared" si="26"/>
        <v>0.99289099526066349</v>
      </c>
      <c r="S195" s="101">
        <f t="shared" si="27"/>
        <v>-3000</v>
      </c>
      <c r="T195" s="104">
        <f t="shared" si="28"/>
        <v>10307.4</v>
      </c>
      <c r="U195" s="62">
        <f t="shared" si="29"/>
        <v>31</v>
      </c>
      <c r="V195" s="62" t="str">
        <f t="shared" si="30"/>
        <v>$400-500K</v>
      </c>
      <c r="W195" s="62" t="str">
        <f t="shared" si="31"/>
        <v/>
      </c>
      <c r="X195" s="62" t="s">
        <v>433</v>
      </c>
    </row>
    <row r="196" spans="1:24" x14ac:dyDescent="0.35">
      <c r="A196" s="62">
        <v>10153</v>
      </c>
      <c r="B196" s="98">
        <v>46122</v>
      </c>
      <c r="C196" s="62" t="s">
        <v>75</v>
      </c>
      <c r="D196" s="62" t="s">
        <v>28</v>
      </c>
      <c r="E196" s="62">
        <v>2</v>
      </c>
      <c r="F196" s="62">
        <v>2.5</v>
      </c>
      <c r="G196" s="99">
        <v>1300</v>
      </c>
      <c r="H196" s="99">
        <v>1680</v>
      </c>
      <c r="I196" s="100">
        <v>1997</v>
      </c>
      <c r="J196" s="62">
        <v>1</v>
      </c>
      <c r="K196" s="62" t="s">
        <v>179</v>
      </c>
      <c r="L196" s="101">
        <v>351000</v>
      </c>
      <c r="M196" s="101">
        <v>335000</v>
      </c>
      <c r="N196" s="62">
        <v>58</v>
      </c>
      <c r="O196" s="102">
        <v>3.03</v>
      </c>
      <c r="P196" s="103">
        <f t="shared" si="24"/>
        <v>46113</v>
      </c>
      <c r="Q196" s="104">
        <f t="shared" si="25"/>
        <v>257.69230769230768</v>
      </c>
      <c r="R196" s="105">
        <f t="shared" si="26"/>
        <v>0.95441595441595439</v>
      </c>
      <c r="S196" s="101">
        <f t="shared" si="27"/>
        <v>-16000</v>
      </c>
      <c r="T196" s="104">
        <f t="shared" si="28"/>
        <v>10150.499999999998</v>
      </c>
      <c r="U196" s="62">
        <f t="shared" si="29"/>
        <v>29</v>
      </c>
      <c r="V196" s="62" t="str">
        <f t="shared" si="30"/>
        <v>$300-400K</v>
      </c>
      <c r="W196" s="62" t="str">
        <f t="shared" si="31"/>
        <v/>
      </c>
      <c r="X196" s="62" t="s">
        <v>433</v>
      </c>
    </row>
    <row r="197" spans="1:24" x14ac:dyDescent="0.35">
      <c r="A197" s="62">
        <v>10026</v>
      </c>
      <c r="B197" s="98">
        <v>46129</v>
      </c>
      <c r="C197" s="62" t="s">
        <v>75</v>
      </c>
      <c r="D197" s="62" t="s">
        <v>27</v>
      </c>
      <c r="E197" s="62">
        <v>3</v>
      </c>
      <c r="F197" s="62">
        <v>3</v>
      </c>
      <c r="G197" s="99">
        <v>1600</v>
      </c>
      <c r="H197" s="99">
        <v>3600</v>
      </c>
      <c r="I197" s="100">
        <v>2001</v>
      </c>
      <c r="J197" s="62">
        <v>2</v>
      </c>
      <c r="K197" s="62" t="s">
        <v>181</v>
      </c>
      <c r="L197" s="101">
        <v>347000</v>
      </c>
      <c r="M197" s="101">
        <v>328000</v>
      </c>
      <c r="N197" s="62"/>
      <c r="O197" s="102">
        <v>3</v>
      </c>
      <c r="P197" s="103">
        <f t="shared" si="24"/>
        <v>46113</v>
      </c>
      <c r="Q197" s="104">
        <f t="shared" si="25"/>
        <v>205</v>
      </c>
      <c r="R197" s="105">
        <f t="shared" si="26"/>
        <v>0.94524495677233433</v>
      </c>
      <c r="S197" s="101">
        <f t="shared" si="27"/>
        <v>-19000</v>
      </c>
      <c r="T197" s="104">
        <f t="shared" si="28"/>
        <v>9840</v>
      </c>
      <c r="U197" s="62">
        <f t="shared" si="29"/>
        <v>25</v>
      </c>
      <c r="V197" s="62" t="str">
        <f t="shared" si="30"/>
        <v>$300-400K</v>
      </c>
      <c r="W197" s="62" t="str">
        <f t="shared" si="31"/>
        <v/>
      </c>
      <c r="X197" s="62" t="s">
        <v>446</v>
      </c>
    </row>
    <row r="198" spans="1:24" x14ac:dyDescent="0.35">
      <c r="A198" s="62">
        <v>10127</v>
      </c>
      <c r="B198" s="98">
        <v>46129</v>
      </c>
      <c r="C198" s="62" t="s">
        <v>76</v>
      </c>
      <c r="D198" s="62" t="s">
        <v>26</v>
      </c>
      <c r="E198" s="62">
        <v>2</v>
      </c>
      <c r="F198" s="62">
        <v>2</v>
      </c>
      <c r="G198" s="99">
        <v>910</v>
      </c>
      <c r="H198" s="99">
        <v>0</v>
      </c>
      <c r="I198" s="100">
        <v>1992</v>
      </c>
      <c r="J198" s="62">
        <v>0</v>
      </c>
      <c r="K198" s="62" t="s">
        <v>178</v>
      </c>
      <c r="L198" s="101">
        <v>199000</v>
      </c>
      <c r="M198" s="101">
        <v>194000</v>
      </c>
      <c r="N198" s="62">
        <v>29</v>
      </c>
      <c r="O198" s="102">
        <v>2.5</v>
      </c>
      <c r="P198" s="103">
        <f t="shared" si="24"/>
        <v>46113</v>
      </c>
      <c r="Q198" s="104">
        <f t="shared" si="25"/>
        <v>213.1868131868132</v>
      </c>
      <c r="R198" s="105">
        <f t="shared" si="26"/>
        <v>0.97487437185929648</v>
      </c>
      <c r="S198" s="101">
        <f t="shared" si="27"/>
        <v>-5000</v>
      </c>
      <c r="T198" s="104">
        <f t="shared" si="28"/>
        <v>4850</v>
      </c>
      <c r="U198" s="62">
        <f t="shared" si="29"/>
        <v>34</v>
      </c>
      <c r="V198" s="62" t="str">
        <f t="shared" si="30"/>
        <v>Under $200K</v>
      </c>
      <c r="W198" s="62" t="str">
        <f t="shared" si="31"/>
        <v/>
      </c>
      <c r="X198" s="62"/>
    </row>
    <row r="199" spans="1:24" x14ac:dyDescent="0.35">
      <c r="A199" s="62">
        <v>10198</v>
      </c>
      <c r="B199" s="98">
        <v>46129</v>
      </c>
      <c r="C199" s="62" t="s">
        <v>72</v>
      </c>
      <c r="D199" s="62" t="s">
        <v>27</v>
      </c>
      <c r="E199" s="62">
        <v>4</v>
      </c>
      <c r="F199" s="62">
        <v>3.5</v>
      </c>
      <c r="G199" s="99">
        <v>1870</v>
      </c>
      <c r="H199" s="99">
        <v>7960</v>
      </c>
      <c r="I199" s="100">
        <v>1983</v>
      </c>
      <c r="J199" s="62">
        <v>0</v>
      </c>
      <c r="K199" s="62" t="s">
        <v>179</v>
      </c>
      <c r="L199" s="101">
        <v>305000</v>
      </c>
      <c r="M199" s="101">
        <v>306000</v>
      </c>
      <c r="N199" s="62">
        <v>37</v>
      </c>
      <c r="O199" s="102">
        <v>3.17</v>
      </c>
      <c r="P199" s="103">
        <f t="shared" si="24"/>
        <v>46113</v>
      </c>
      <c r="Q199" s="104">
        <f t="shared" si="25"/>
        <v>163.63636363636363</v>
      </c>
      <c r="R199" s="105">
        <f t="shared" si="26"/>
        <v>1.0032786885245901</v>
      </c>
      <c r="S199" s="101">
        <f t="shared" si="27"/>
        <v>1000</v>
      </c>
      <c r="T199" s="104">
        <f t="shared" si="28"/>
        <v>9700.2000000000007</v>
      </c>
      <c r="U199" s="62">
        <f t="shared" si="29"/>
        <v>43</v>
      </c>
      <c r="V199" s="62" t="str">
        <f t="shared" si="30"/>
        <v>$300-400K</v>
      </c>
      <c r="W199" s="62" t="str">
        <f t="shared" si="31"/>
        <v/>
      </c>
      <c r="X199" s="62"/>
    </row>
    <row r="200" spans="1:24" x14ac:dyDescent="0.35">
      <c r="A200" s="62">
        <v>10114</v>
      </c>
      <c r="B200" s="98">
        <v>46135</v>
      </c>
      <c r="C200" s="62" t="s">
        <v>74</v>
      </c>
      <c r="D200" s="62" t="s">
        <v>27</v>
      </c>
      <c r="E200" s="62">
        <v>2</v>
      </c>
      <c r="F200" s="62">
        <v>2</v>
      </c>
      <c r="G200" s="99">
        <v>1310</v>
      </c>
      <c r="H200" s="99">
        <v>3210</v>
      </c>
      <c r="I200" s="100">
        <v>2014</v>
      </c>
      <c r="J200" s="62">
        <v>2</v>
      </c>
      <c r="K200" s="62" t="s">
        <v>179</v>
      </c>
      <c r="L200" s="101">
        <v>260000</v>
      </c>
      <c r="M200" s="101">
        <v>234000</v>
      </c>
      <c r="N200" s="62">
        <v>31</v>
      </c>
      <c r="O200" s="102">
        <v>2.96</v>
      </c>
      <c r="P200" s="103">
        <f t="shared" si="24"/>
        <v>46113</v>
      </c>
      <c r="Q200" s="104">
        <f t="shared" si="25"/>
        <v>178.62595419847329</v>
      </c>
      <c r="R200" s="105">
        <f t="shared" si="26"/>
        <v>0.9</v>
      </c>
      <c r="S200" s="101">
        <f t="shared" si="27"/>
        <v>-26000</v>
      </c>
      <c r="T200" s="104">
        <f t="shared" si="28"/>
        <v>6926.4</v>
      </c>
      <c r="U200" s="62">
        <f t="shared" si="29"/>
        <v>12</v>
      </c>
      <c r="V200" s="62" t="str">
        <f t="shared" si="30"/>
        <v>$200-300K</v>
      </c>
      <c r="W200" s="62" t="str">
        <f t="shared" si="31"/>
        <v/>
      </c>
      <c r="X200" s="62" t="s">
        <v>433</v>
      </c>
    </row>
    <row r="201" spans="1:24" x14ac:dyDescent="0.35">
      <c r="A201" s="62">
        <v>10112</v>
      </c>
      <c r="B201" s="98">
        <v>46143</v>
      </c>
      <c r="C201" s="62" t="s">
        <v>75</v>
      </c>
      <c r="D201" s="62" t="s">
        <v>27</v>
      </c>
      <c r="E201" s="62">
        <v>3</v>
      </c>
      <c r="F201" s="62">
        <v>3</v>
      </c>
      <c r="G201" s="99">
        <v>1700</v>
      </c>
      <c r="H201" s="99">
        <v>4770</v>
      </c>
      <c r="I201" s="100">
        <v>1964</v>
      </c>
      <c r="J201" s="62">
        <v>1</v>
      </c>
      <c r="K201" s="62" t="s">
        <v>179</v>
      </c>
      <c r="L201" s="101">
        <v>388000</v>
      </c>
      <c r="M201" s="101">
        <v>367000</v>
      </c>
      <c r="N201" s="62">
        <v>39</v>
      </c>
      <c r="O201" s="102">
        <v>3.01</v>
      </c>
      <c r="P201" s="103">
        <f t="shared" si="24"/>
        <v>46143</v>
      </c>
      <c r="Q201" s="104">
        <f t="shared" si="25"/>
        <v>215.88235294117646</v>
      </c>
      <c r="R201" s="105">
        <f t="shared" si="26"/>
        <v>0.94587628865979378</v>
      </c>
      <c r="S201" s="101">
        <f t="shared" si="27"/>
        <v>-21000</v>
      </c>
      <c r="T201" s="104">
        <f t="shared" si="28"/>
        <v>11046.7</v>
      </c>
      <c r="U201" s="62">
        <f t="shared" si="29"/>
        <v>62</v>
      </c>
      <c r="V201" s="62" t="str">
        <f t="shared" si="30"/>
        <v>$300-400K</v>
      </c>
      <c r="W201" s="62" t="str">
        <f t="shared" si="31"/>
        <v/>
      </c>
      <c r="X201" s="62" t="s">
        <v>452</v>
      </c>
    </row>
    <row r="202" spans="1:24" x14ac:dyDescent="0.35">
      <c r="A202" s="62">
        <v>10045</v>
      </c>
      <c r="B202" s="98">
        <v>46144</v>
      </c>
      <c r="C202" s="62" t="s">
        <v>72</v>
      </c>
      <c r="D202" s="62" t="s">
        <v>26</v>
      </c>
      <c r="E202" s="62">
        <v>1</v>
      </c>
      <c r="F202" s="62">
        <v>1.5</v>
      </c>
      <c r="G202" s="99">
        <v>840</v>
      </c>
      <c r="H202" s="99">
        <v>0</v>
      </c>
      <c r="I202" s="100">
        <v>1974</v>
      </c>
      <c r="J202" s="62">
        <v>1</v>
      </c>
      <c r="K202" s="62" t="s">
        <v>178</v>
      </c>
      <c r="L202" s="101">
        <v>165000</v>
      </c>
      <c r="M202" s="101">
        <v>164000</v>
      </c>
      <c r="N202" s="62">
        <v>78</v>
      </c>
      <c r="O202" s="102">
        <v>3.04</v>
      </c>
      <c r="P202" s="103">
        <f t="shared" si="24"/>
        <v>46143</v>
      </c>
      <c r="Q202" s="104">
        <f t="shared" si="25"/>
        <v>195.23809523809524</v>
      </c>
      <c r="R202" s="105">
        <f t="shared" si="26"/>
        <v>0.9939393939393939</v>
      </c>
      <c r="S202" s="101">
        <f t="shared" si="27"/>
        <v>-1000</v>
      </c>
      <c r="T202" s="104">
        <f t="shared" si="28"/>
        <v>4985.6000000000004</v>
      </c>
      <c r="U202" s="62">
        <f t="shared" si="29"/>
        <v>52</v>
      </c>
      <c r="V202" s="62" t="str">
        <f t="shared" si="30"/>
        <v>Under $200K</v>
      </c>
      <c r="W202" s="62" t="str">
        <f t="shared" si="31"/>
        <v/>
      </c>
      <c r="X202" s="62"/>
    </row>
    <row r="203" spans="1:24" x14ac:dyDescent="0.35">
      <c r="A203" s="62">
        <v>10240</v>
      </c>
      <c r="B203" s="98">
        <v>46144</v>
      </c>
      <c r="C203" s="62" t="s">
        <v>75</v>
      </c>
      <c r="D203" s="62" t="s">
        <v>27</v>
      </c>
      <c r="E203" s="62">
        <v>3</v>
      </c>
      <c r="F203" s="62">
        <v>3.5</v>
      </c>
      <c r="G203" s="99">
        <v>1770</v>
      </c>
      <c r="H203" s="99">
        <v>5470</v>
      </c>
      <c r="I203" s="100">
        <v>1981</v>
      </c>
      <c r="J203" s="62">
        <v>0</v>
      </c>
      <c r="K203" s="62" t="s">
        <v>180</v>
      </c>
      <c r="L203" s="101">
        <v>414000</v>
      </c>
      <c r="M203" s="101">
        <v>407000</v>
      </c>
      <c r="N203" s="62">
        <v>91</v>
      </c>
      <c r="O203" s="102">
        <v>3.03</v>
      </c>
      <c r="P203" s="103">
        <f t="shared" si="24"/>
        <v>46143</v>
      </c>
      <c r="Q203" s="104">
        <f t="shared" si="25"/>
        <v>229.94350282485877</v>
      </c>
      <c r="R203" s="105">
        <f t="shared" si="26"/>
        <v>0.98309178743961356</v>
      </c>
      <c r="S203" s="101">
        <f t="shared" si="27"/>
        <v>-7000</v>
      </c>
      <c r="T203" s="104">
        <f t="shared" si="28"/>
        <v>12332.1</v>
      </c>
      <c r="U203" s="62">
        <f t="shared" si="29"/>
        <v>45</v>
      </c>
      <c r="V203" s="62" t="str">
        <f t="shared" si="30"/>
        <v>$400-500K</v>
      </c>
      <c r="W203" s="62" t="str">
        <f t="shared" si="31"/>
        <v/>
      </c>
      <c r="X203" s="62"/>
    </row>
    <row r="204" spans="1:24" x14ac:dyDescent="0.35">
      <c r="A204" s="62">
        <v>10064</v>
      </c>
      <c r="B204" s="98">
        <v>46145</v>
      </c>
      <c r="C204" s="62" t="s">
        <v>73</v>
      </c>
      <c r="D204" s="62" t="s">
        <v>27</v>
      </c>
      <c r="E204" s="62">
        <v>2</v>
      </c>
      <c r="F204" s="62">
        <v>2.5</v>
      </c>
      <c r="G204" s="99">
        <v>1280</v>
      </c>
      <c r="H204" s="99">
        <v>3580</v>
      </c>
      <c r="I204" s="100">
        <v>2003</v>
      </c>
      <c r="J204" s="62">
        <v>2</v>
      </c>
      <c r="K204" s="62" t="s">
        <v>178</v>
      </c>
      <c r="L204" s="101">
        <v>478000</v>
      </c>
      <c r="M204" s="101">
        <v>476000</v>
      </c>
      <c r="N204" s="62">
        <v>45</v>
      </c>
      <c r="O204" s="102">
        <v>2.87</v>
      </c>
      <c r="P204" s="103">
        <f t="shared" si="24"/>
        <v>46143</v>
      </c>
      <c r="Q204" s="104">
        <f t="shared" si="25"/>
        <v>371.875</v>
      </c>
      <c r="R204" s="105">
        <f t="shared" si="26"/>
        <v>0.99581589958159</v>
      </c>
      <c r="S204" s="101">
        <f t="shared" si="27"/>
        <v>-2000</v>
      </c>
      <c r="T204" s="104">
        <f t="shared" si="28"/>
        <v>13661.2</v>
      </c>
      <c r="U204" s="62">
        <f t="shared" si="29"/>
        <v>23</v>
      </c>
      <c r="V204" s="62" t="str">
        <f t="shared" si="30"/>
        <v>$400-500K</v>
      </c>
      <c r="W204" s="62" t="str">
        <f t="shared" si="31"/>
        <v>$/sqft</v>
      </c>
      <c r="X204" s="62"/>
    </row>
    <row r="205" spans="1:24" x14ac:dyDescent="0.35">
      <c r="A205" s="62">
        <v>10245</v>
      </c>
      <c r="B205" s="98">
        <v>46146</v>
      </c>
      <c r="C205" s="62" t="s">
        <v>182</v>
      </c>
      <c r="D205" s="62" t="s">
        <v>28</v>
      </c>
      <c r="E205" s="62">
        <v>3</v>
      </c>
      <c r="F205" s="62">
        <v>2.5</v>
      </c>
      <c r="G205" s="99">
        <v>1780</v>
      </c>
      <c r="H205" s="99">
        <v>2000</v>
      </c>
      <c r="I205" s="100">
        <v>1941</v>
      </c>
      <c r="J205" s="62">
        <v>2</v>
      </c>
      <c r="K205" s="62" t="s">
        <v>180</v>
      </c>
      <c r="L205" s="101">
        <v>295000</v>
      </c>
      <c r="M205" s="101">
        <v>294000</v>
      </c>
      <c r="N205" s="62">
        <v>84</v>
      </c>
      <c r="O205" s="102">
        <v>2.98</v>
      </c>
      <c r="P205" s="103">
        <f t="shared" si="24"/>
        <v>46143</v>
      </c>
      <c r="Q205" s="104">
        <f t="shared" si="25"/>
        <v>165.16853932584269</v>
      </c>
      <c r="R205" s="105">
        <f t="shared" si="26"/>
        <v>0.99661016949152548</v>
      </c>
      <c r="S205" s="101">
        <f t="shared" si="27"/>
        <v>-1000</v>
      </c>
      <c r="T205" s="104">
        <f t="shared" si="28"/>
        <v>8761.2000000000007</v>
      </c>
      <c r="U205" s="62">
        <f t="shared" si="29"/>
        <v>85</v>
      </c>
      <c r="V205" s="62" t="str">
        <f t="shared" si="30"/>
        <v>$200-300K</v>
      </c>
      <c r="W205" s="62" t="str">
        <f t="shared" si="31"/>
        <v/>
      </c>
      <c r="X205" s="62" t="s">
        <v>456</v>
      </c>
    </row>
    <row r="206" spans="1:24" x14ac:dyDescent="0.35">
      <c r="A206" s="62">
        <v>10036</v>
      </c>
      <c r="B206" s="98">
        <v>46148</v>
      </c>
      <c r="C206" s="62" t="s">
        <v>75</v>
      </c>
      <c r="D206" s="62" t="s">
        <v>27</v>
      </c>
      <c r="E206" s="62">
        <v>5</v>
      </c>
      <c r="F206" s="62">
        <v>3.5</v>
      </c>
      <c r="G206" s="99">
        <v>2410</v>
      </c>
      <c r="H206" s="99">
        <v>6880</v>
      </c>
      <c r="I206" s="100">
        <v>1993</v>
      </c>
      <c r="J206" s="62">
        <v>2</v>
      </c>
      <c r="K206" s="62" t="s">
        <v>178</v>
      </c>
      <c r="L206" s="101">
        <v>630000</v>
      </c>
      <c r="M206" s="101">
        <v>654000</v>
      </c>
      <c r="N206" s="62">
        <v>32</v>
      </c>
      <c r="O206" s="102">
        <v>2.56</v>
      </c>
      <c r="P206" s="103">
        <f t="shared" si="24"/>
        <v>46143</v>
      </c>
      <c r="Q206" s="104">
        <f t="shared" si="25"/>
        <v>271.3692946058091</v>
      </c>
      <c r="R206" s="105">
        <f t="shared" si="26"/>
        <v>1.0380952380952382</v>
      </c>
      <c r="S206" s="101">
        <f t="shared" si="27"/>
        <v>24000</v>
      </c>
      <c r="T206" s="104">
        <f t="shared" si="28"/>
        <v>16742.400000000001</v>
      </c>
      <c r="U206" s="62">
        <f t="shared" si="29"/>
        <v>33</v>
      </c>
      <c r="V206" s="62" t="str">
        <f t="shared" si="30"/>
        <v>$600-800K</v>
      </c>
      <c r="W206" s="62" t="str">
        <f t="shared" si="31"/>
        <v/>
      </c>
      <c r="X206" s="62" t="s">
        <v>433</v>
      </c>
    </row>
    <row r="207" spans="1:24" x14ac:dyDescent="0.35">
      <c r="A207" s="62">
        <v>10066</v>
      </c>
      <c r="B207" s="98">
        <v>46149</v>
      </c>
      <c r="C207" s="62" t="s">
        <v>74</v>
      </c>
      <c r="D207" s="62" t="s">
        <v>27</v>
      </c>
      <c r="E207" s="62">
        <v>4</v>
      </c>
      <c r="F207" s="62">
        <v>3.5</v>
      </c>
      <c r="G207" s="99">
        <v>2350</v>
      </c>
      <c r="H207" s="99">
        <v>9820</v>
      </c>
      <c r="I207" s="100">
        <v>1938</v>
      </c>
      <c r="J207" s="62">
        <v>0</v>
      </c>
      <c r="K207" s="62" t="s">
        <v>179</v>
      </c>
      <c r="L207" s="101">
        <v>407000</v>
      </c>
      <c r="M207" s="101">
        <v>414000</v>
      </c>
      <c r="N207" s="62">
        <v>32</v>
      </c>
      <c r="O207" s="102"/>
      <c r="P207" s="103">
        <f t="shared" si="24"/>
        <v>46143</v>
      </c>
      <c r="Q207" s="104">
        <f t="shared" si="25"/>
        <v>176.17021276595744</v>
      </c>
      <c r="R207" s="105">
        <f t="shared" si="26"/>
        <v>1.0171990171990173</v>
      </c>
      <c r="S207" s="101">
        <f t="shared" si="27"/>
        <v>7000</v>
      </c>
      <c r="T207" s="104" t="str">
        <f t="shared" si="28"/>
        <v/>
      </c>
      <c r="U207" s="62">
        <f t="shared" si="29"/>
        <v>88</v>
      </c>
      <c r="V207" s="62" t="str">
        <f t="shared" si="30"/>
        <v>$400-500K</v>
      </c>
      <c r="W207" s="62" t="str">
        <f t="shared" si="31"/>
        <v/>
      </c>
      <c r="X207" s="62" t="s">
        <v>454</v>
      </c>
    </row>
    <row r="208" spans="1:24" x14ac:dyDescent="0.35">
      <c r="A208" s="62">
        <v>10155</v>
      </c>
      <c r="B208" s="98">
        <v>46149</v>
      </c>
      <c r="C208" s="62" t="s">
        <v>75</v>
      </c>
      <c r="D208" s="62" t="s">
        <v>26</v>
      </c>
      <c r="E208" s="62">
        <v>3</v>
      </c>
      <c r="F208" s="62">
        <v>2.5</v>
      </c>
      <c r="G208" s="99">
        <v>1620</v>
      </c>
      <c r="H208" s="99">
        <v>0</v>
      </c>
      <c r="I208" s="100">
        <v>1968</v>
      </c>
      <c r="J208" s="62">
        <v>1</v>
      </c>
      <c r="K208" s="62" t="s">
        <v>181</v>
      </c>
      <c r="L208" s="101">
        <v>319000</v>
      </c>
      <c r="M208" s="101">
        <v>297000</v>
      </c>
      <c r="N208" s="62">
        <v>77</v>
      </c>
      <c r="O208" s="102">
        <v>3.01</v>
      </c>
      <c r="P208" s="103">
        <f t="shared" si="24"/>
        <v>46143</v>
      </c>
      <c r="Q208" s="104">
        <f t="shared" si="25"/>
        <v>183.33333333333334</v>
      </c>
      <c r="R208" s="105">
        <f t="shared" si="26"/>
        <v>0.93103448275862066</v>
      </c>
      <c r="S208" s="101">
        <f t="shared" si="27"/>
        <v>-22000</v>
      </c>
      <c r="T208" s="104">
        <f t="shared" si="28"/>
        <v>8939.6999999999989</v>
      </c>
      <c r="U208" s="62">
        <f t="shared" si="29"/>
        <v>58</v>
      </c>
      <c r="V208" s="62" t="str">
        <f t="shared" si="30"/>
        <v>$200-300K</v>
      </c>
      <c r="W208" s="62" t="str">
        <f t="shared" si="31"/>
        <v/>
      </c>
      <c r="X208" s="62"/>
    </row>
    <row r="209" spans="1:24" x14ac:dyDescent="0.35">
      <c r="A209" s="62">
        <v>10074</v>
      </c>
      <c r="B209" s="98">
        <v>46153</v>
      </c>
      <c r="C209" s="62" t="s">
        <v>76</v>
      </c>
      <c r="D209" s="62" t="s">
        <v>27</v>
      </c>
      <c r="E209" s="62">
        <v>4</v>
      </c>
      <c r="F209" s="62">
        <v>2.5</v>
      </c>
      <c r="G209" s="99">
        <v>1970</v>
      </c>
      <c r="H209" s="99">
        <v>5700</v>
      </c>
      <c r="I209" s="100">
        <v>1955</v>
      </c>
      <c r="J209" s="62">
        <v>1</v>
      </c>
      <c r="K209" s="62" t="s">
        <v>179</v>
      </c>
      <c r="L209" s="101">
        <v>387000</v>
      </c>
      <c r="M209" s="101">
        <v>367000</v>
      </c>
      <c r="N209" s="62">
        <v>39</v>
      </c>
      <c r="O209" s="102">
        <v>2.98</v>
      </c>
      <c r="P209" s="103">
        <f t="shared" si="24"/>
        <v>46143</v>
      </c>
      <c r="Q209" s="104">
        <f t="shared" si="25"/>
        <v>186.29441624365481</v>
      </c>
      <c r="R209" s="105">
        <f t="shared" si="26"/>
        <v>0.94832041343669249</v>
      </c>
      <c r="S209" s="101">
        <f t="shared" si="27"/>
        <v>-20000</v>
      </c>
      <c r="T209" s="104">
        <f t="shared" si="28"/>
        <v>10936.6</v>
      </c>
      <c r="U209" s="62">
        <f t="shared" si="29"/>
        <v>71</v>
      </c>
      <c r="V209" s="62" t="str">
        <f t="shared" si="30"/>
        <v>$300-400K</v>
      </c>
      <c r="W209" s="62" t="str">
        <f t="shared" si="31"/>
        <v/>
      </c>
      <c r="X209" s="62" t="s">
        <v>441</v>
      </c>
    </row>
    <row r="210" spans="1:24" x14ac:dyDescent="0.35">
      <c r="A210" s="62">
        <v>10054</v>
      </c>
      <c r="B210" s="98">
        <v>46155</v>
      </c>
      <c r="C210" s="62" t="s">
        <v>74</v>
      </c>
      <c r="D210" s="62" t="s">
        <v>27</v>
      </c>
      <c r="E210" s="62">
        <v>3</v>
      </c>
      <c r="F210" s="62">
        <v>2</v>
      </c>
      <c r="G210" s="99">
        <v>1400</v>
      </c>
      <c r="H210" s="99">
        <v>3500</v>
      </c>
      <c r="I210" s="100">
        <v>1989</v>
      </c>
      <c r="J210" s="62">
        <v>1</v>
      </c>
      <c r="K210" s="62" t="s">
        <v>179</v>
      </c>
      <c r="L210" s="101">
        <v>305000</v>
      </c>
      <c r="M210" s="101">
        <v>302000</v>
      </c>
      <c r="N210" s="62">
        <v>53</v>
      </c>
      <c r="O210" s="102">
        <v>2.96</v>
      </c>
      <c r="P210" s="103">
        <f t="shared" si="24"/>
        <v>46143</v>
      </c>
      <c r="Q210" s="104">
        <f t="shared" si="25"/>
        <v>215.71428571428572</v>
      </c>
      <c r="R210" s="105">
        <f t="shared" si="26"/>
        <v>0.99016393442622952</v>
      </c>
      <c r="S210" s="101">
        <f t="shared" si="27"/>
        <v>-3000</v>
      </c>
      <c r="T210" s="104">
        <f t="shared" si="28"/>
        <v>8939.2000000000007</v>
      </c>
      <c r="U210" s="62">
        <f t="shared" si="29"/>
        <v>37</v>
      </c>
      <c r="V210" s="62" t="str">
        <f t="shared" si="30"/>
        <v>$300-400K</v>
      </c>
      <c r="W210" s="62" t="str">
        <f t="shared" si="31"/>
        <v/>
      </c>
      <c r="X210" s="62" t="s">
        <v>433</v>
      </c>
    </row>
    <row r="211" spans="1:24" x14ac:dyDescent="0.35">
      <c r="A211" s="62">
        <v>10167</v>
      </c>
      <c r="B211" s="98">
        <v>46160</v>
      </c>
      <c r="C211" s="62" t="s">
        <v>72</v>
      </c>
      <c r="D211" s="62" t="s">
        <v>27</v>
      </c>
      <c r="E211" s="62">
        <v>4</v>
      </c>
      <c r="F211" s="62">
        <v>3.5</v>
      </c>
      <c r="G211" s="99">
        <v>1770</v>
      </c>
      <c r="H211" s="99">
        <v>4940</v>
      </c>
      <c r="I211" s="100">
        <v>1988</v>
      </c>
      <c r="J211" s="62">
        <v>1</v>
      </c>
      <c r="K211" s="62" t="s">
        <v>179</v>
      </c>
      <c r="L211" s="101">
        <v>358000</v>
      </c>
      <c r="M211" s="101">
        <v>355000</v>
      </c>
      <c r="N211" s="62">
        <v>59</v>
      </c>
      <c r="O211" s="102">
        <v>2.5099999999999998</v>
      </c>
      <c r="P211" s="103">
        <f t="shared" si="24"/>
        <v>46143</v>
      </c>
      <c r="Q211" s="104">
        <f t="shared" si="25"/>
        <v>200.56497175141243</v>
      </c>
      <c r="R211" s="105">
        <f t="shared" si="26"/>
        <v>0.99162011173184361</v>
      </c>
      <c r="S211" s="101">
        <f t="shared" si="27"/>
        <v>-3000</v>
      </c>
      <c r="T211" s="104">
        <f t="shared" si="28"/>
        <v>8910.4999999999982</v>
      </c>
      <c r="U211" s="62">
        <f t="shared" si="29"/>
        <v>38</v>
      </c>
      <c r="V211" s="62" t="str">
        <f t="shared" si="30"/>
        <v>$300-400K</v>
      </c>
      <c r="W211" s="62" t="str">
        <f t="shared" si="31"/>
        <v/>
      </c>
      <c r="X211" s="62" t="s">
        <v>441</v>
      </c>
    </row>
    <row r="212" spans="1:24" x14ac:dyDescent="0.35">
      <c r="A212" s="62">
        <v>10247</v>
      </c>
      <c r="B212" s="98">
        <v>46160</v>
      </c>
      <c r="C212" s="62" t="s">
        <v>74</v>
      </c>
      <c r="D212" s="62" t="s">
        <v>27</v>
      </c>
      <c r="E212" s="62">
        <v>4</v>
      </c>
      <c r="F212" s="62">
        <v>3.5</v>
      </c>
      <c r="G212" s="99">
        <v>2090</v>
      </c>
      <c r="H212" s="99">
        <v>8310</v>
      </c>
      <c r="I212" s="100">
        <v>2008</v>
      </c>
      <c r="J212" s="62">
        <v>2</v>
      </c>
      <c r="K212" s="62" t="s">
        <v>179</v>
      </c>
      <c r="L212" s="101">
        <v>387000</v>
      </c>
      <c r="M212" s="101">
        <v>375000</v>
      </c>
      <c r="N212" s="62">
        <v>43</v>
      </c>
      <c r="O212" s="102"/>
      <c r="P212" s="103">
        <f t="shared" si="24"/>
        <v>46143</v>
      </c>
      <c r="Q212" s="104">
        <f t="shared" si="25"/>
        <v>179.42583732057417</v>
      </c>
      <c r="R212" s="105">
        <f t="shared" si="26"/>
        <v>0.96899224806201545</v>
      </c>
      <c r="S212" s="101">
        <f t="shared" si="27"/>
        <v>-12000</v>
      </c>
      <c r="T212" s="104" t="str">
        <f t="shared" si="28"/>
        <v/>
      </c>
      <c r="U212" s="62">
        <f t="shared" si="29"/>
        <v>18</v>
      </c>
      <c r="V212" s="62" t="str">
        <f t="shared" si="30"/>
        <v>$300-400K</v>
      </c>
      <c r="W212" s="62" t="str">
        <f t="shared" si="31"/>
        <v/>
      </c>
      <c r="X212" s="62" t="s">
        <v>475</v>
      </c>
    </row>
    <row r="213" spans="1:24" x14ac:dyDescent="0.35">
      <c r="A213" s="62">
        <v>10250</v>
      </c>
      <c r="B213" s="98">
        <v>46161</v>
      </c>
      <c r="C213" s="62" t="s">
        <v>76</v>
      </c>
      <c r="D213" s="62" t="s">
        <v>27</v>
      </c>
      <c r="E213" s="62">
        <v>4</v>
      </c>
      <c r="F213" s="62">
        <v>3</v>
      </c>
      <c r="G213" s="99">
        <v>2140</v>
      </c>
      <c r="H213" s="99">
        <v>9460</v>
      </c>
      <c r="I213" s="100">
        <v>2018</v>
      </c>
      <c r="J213" s="62">
        <v>2</v>
      </c>
      <c r="K213" s="62" t="s">
        <v>179</v>
      </c>
      <c r="L213" s="101">
        <v>471000</v>
      </c>
      <c r="M213" s="101">
        <v>464000</v>
      </c>
      <c r="N213" s="62">
        <v>27</v>
      </c>
      <c r="O213" s="102">
        <v>2.5499999999999998</v>
      </c>
      <c r="P213" s="103">
        <f t="shared" si="24"/>
        <v>46143</v>
      </c>
      <c r="Q213" s="104">
        <f t="shared" si="25"/>
        <v>216.82242990654206</v>
      </c>
      <c r="R213" s="105">
        <f t="shared" si="26"/>
        <v>0.9851380042462845</v>
      </c>
      <c r="S213" s="101">
        <f t="shared" si="27"/>
        <v>-7000</v>
      </c>
      <c r="T213" s="104">
        <f t="shared" si="28"/>
        <v>11832</v>
      </c>
      <c r="U213" s="62">
        <f t="shared" si="29"/>
        <v>8</v>
      </c>
      <c r="V213" s="62" t="str">
        <f t="shared" si="30"/>
        <v>$400-500K</v>
      </c>
      <c r="W213" s="62" t="str">
        <f t="shared" si="31"/>
        <v/>
      </c>
      <c r="X213" s="62" t="s">
        <v>448</v>
      </c>
    </row>
    <row r="214" spans="1:24" x14ac:dyDescent="0.35">
      <c r="A214" s="62">
        <v>10244</v>
      </c>
      <c r="B214" s="98">
        <v>46162</v>
      </c>
      <c r="C214" s="62" t="s">
        <v>74</v>
      </c>
      <c r="D214" s="62" t="s">
        <v>27</v>
      </c>
      <c r="E214" s="62">
        <v>4</v>
      </c>
      <c r="F214" s="62">
        <v>3</v>
      </c>
      <c r="G214" s="99">
        <v>1770</v>
      </c>
      <c r="H214" s="99">
        <v>5470</v>
      </c>
      <c r="I214" s="100">
        <v>1992</v>
      </c>
      <c r="J214" s="62">
        <v>3</v>
      </c>
      <c r="K214" s="62" t="s">
        <v>180</v>
      </c>
      <c r="L214" s="101">
        <v>400000</v>
      </c>
      <c r="M214" s="101">
        <v>388000</v>
      </c>
      <c r="N214" s="62">
        <v>46</v>
      </c>
      <c r="O214" s="102">
        <v>2.98</v>
      </c>
      <c r="P214" s="103">
        <f t="shared" si="24"/>
        <v>46143</v>
      </c>
      <c r="Q214" s="104">
        <f t="shared" si="25"/>
        <v>219.20903954802259</v>
      </c>
      <c r="R214" s="105">
        <f t="shared" si="26"/>
        <v>0.97</v>
      </c>
      <c r="S214" s="101">
        <f t="shared" si="27"/>
        <v>-12000</v>
      </c>
      <c r="T214" s="104">
        <f t="shared" si="28"/>
        <v>11562.4</v>
      </c>
      <c r="U214" s="62">
        <f t="shared" si="29"/>
        <v>34</v>
      </c>
      <c r="V214" s="62" t="str">
        <f t="shared" si="30"/>
        <v>$300-400K</v>
      </c>
      <c r="W214" s="62" t="str">
        <f t="shared" si="31"/>
        <v/>
      </c>
      <c r="X214" s="62"/>
    </row>
    <row r="215" spans="1:24" x14ac:dyDescent="0.35">
      <c r="A215" s="62">
        <v>10181</v>
      </c>
      <c r="B215" s="98">
        <v>46167</v>
      </c>
      <c r="C215" s="62" t="s">
        <v>72</v>
      </c>
      <c r="D215" s="62" t="s">
        <v>26</v>
      </c>
      <c r="E215" s="62">
        <v>1</v>
      </c>
      <c r="F215" s="62">
        <v>1.5</v>
      </c>
      <c r="G215" s="99">
        <v>630</v>
      </c>
      <c r="H215" s="99">
        <v>0</v>
      </c>
      <c r="I215" s="100">
        <v>2009</v>
      </c>
      <c r="J215" s="62">
        <v>0</v>
      </c>
      <c r="K215" s="62" t="s">
        <v>180</v>
      </c>
      <c r="L215" s="101">
        <v>118000</v>
      </c>
      <c r="M215" s="101">
        <v>116000</v>
      </c>
      <c r="N215" s="62">
        <v>65</v>
      </c>
      <c r="O215" s="102">
        <v>3.03</v>
      </c>
      <c r="P215" s="103">
        <f t="shared" si="24"/>
        <v>46143</v>
      </c>
      <c r="Q215" s="104">
        <f t="shared" si="25"/>
        <v>184.12698412698413</v>
      </c>
      <c r="R215" s="105">
        <f t="shared" si="26"/>
        <v>0.98305084745762716</v>
      </c>
      <c r="S215" s="101">
        <f t="shared" si="27"/>
        <v>-2000</v>
      </c>
      <c r="T215" s="104">
        <f t="shared" si="28"/>
        <v>3514.8</v>
      </c>
      <c r="U215" s="62">
        <f t="shared" si="29"/>
        <v>17</v>
      </c>
      <c r="V215" s="62" t="str">
        <f t="shared" si="30"/>
        <v>Under $200K</v>
      </c>
      <c r="W215" s="62" t="str">
        <f t="shared" si="31"/>
        <v/>
      </c>
      <c r="X215" s="62"/>
    </row>
    <row r="216" spans="1:24" x14ac:dyDescent="0.35">
      <c r="A216" s="62">
        <v>10231</v>
      </c>
      <c r="B216" s="98">
        <v>46169</v>
      </c>
      <c r="C216" s="62" t="s">
        <v>75</v>
      </c>
      <c r="D216" s="62" t="s">
        <v>27</v>
      </c>
      <c r="E216" s="62">
        <v>3</v>
      </c>
      <c r="F216" s="62">
        <v>2</v>
      </c>
      <c r="G216" s="99">
        <v>1650</v>
      </c>
      <c r="H216" s="99">
        <v>6960</v>
      </c>
      <c r="I216" s="100">
        <v>1989</v>
      </c>
      <c r="J216" s="62">
        <v>1</v>
      </c>
      <c r="K216" s="62" t="s">
        <v>178</v>
      </c>
      <c r="L216" s="101">
        <v>457000</v>
      </c>
      <c r="M216" s="101">
        <v>432000</v>
      </c>
      <c r="N216" s="62">
        <v>81</v>
      </c>
      <c r="O216" s="102">
        <v>2.4500000000000002</v>
      </c>
      <c r="P216" s="103">
        <f t="shared" si="24"/>
        <v>46143</v>
      </c>
      <c r="Q216" s="104">
        <f t="shared" si="25"/>
        <v>261.81818181818181</v>
      </c>
      <c r="R216" s="105">
        <f t="shared" si="26"/>
        <v>0.94529540481400443</v>
      </c>
      <c r="S216" s="101">
        <f t="shared" si="27"/>
        <v>-25000</v>
      </c>
      <c r="T216" s="104">
        <f t="shared" si="28"/>
        <v>10584</v>
      </c>
      <c r="U216" s="62">
        <f t="shared" si="29"/>
        <v>37</v>
      </c>
      <c r="V216" s="62" t="str">
        <f t="shared" si="30"/>
        <v>$400-500K</v>
      </c>
      <c r="W216" s="62" t="str">
        <f t="shared" si="31"/>
        <v/>
      </c>
      <c r="X216" s="62"/>
    </row>
    <row r="217" spans="1:24" x14ac:dyDescent="0.35">
      <c r="A217" s="62">
        <v>10170</v>
      </c>
      <c r="B217" s="98">
        <v>46174</v>
      </c>
      <c r="C217" s="62" t="s">
        <v>72</v>
      </c>
      <c r="D217" s="62" t="s">
        <v>26</v>
      </c>
      <c r="E217" s="62">
        <v>2</v>
      </c>
      <c r="F217" s="62">
        <v>1</v>
      </c>
      <c r="G217" s="99">
        <v>1490</v>
      </c>
      <c r="H217" s="99">
        <v>0</v>
      </c>
      <c r="I217" s="100">
        <v>1998</v>
      </c>
      <c r="J217" s="62">
        <v>0</v>
      </c>
      <c r="K217" s="62" t="s">
        <v>178</v>
      </c>
      <c r="L217" s="101">
        <v>244000</v>
      </c>
      <c r="M217" s="101">
        <v>234000</v>
      </c>
      <c r="N217" s="62">
        <v>41</v>
      </c>
      <c r="O217" s="102">
        <v>3.19</v>
      </c>
      <c r="P217" s="103">
        <f t="shared" si="24"/>
        <v>46174</v>
      </c>
      <c r="Q217" s="104">
        <f t="shared" si="25"/>
        <v>157.04697986577182</v>
      </c>
      <c r="R217" s="105">
        <f t="shared" si="26"/>
        <v>0.95901639344262291</v>
      </c>
      <c r="S217" s="101">
        <f t="shared" si="27"/>
        <v>-10000</v>
      </c>
      <c r="T217" s="104">
        <f t="shared" si="28"/>
        <v>7464.6</v>
      </c>
      <c r="U217" s="62">
        <f t="shared" si="29"/>
        <v>28</v>
      </c>
      <c r="V217" s="62" t="str">
        <f t="shared" si="30"/>
        <v>$200-300K</v>
      </c>
      <c r="W217" s="62" t="str">
        <f t="shared" si="31"/>
        <v/>
      </c>
      <c r="X217" s="62" t="s">
        <v>431</v>
      </c>
    </row>
    <row r="218" spans="1:24" x14ac:dyDescent="0.35">
      <c r="A218" s="62">
        <v>10197</v>
      </c>
      <c r="B218" s="98">
        <v>46180</v>
      </c>
      <c r="C218" s="62" t="s">
        <v>74</v>
      </c>
      <c r="D218" s="62" t="s">
        <v>26</v>
      </c>
      <c r="E218" s="62">
        <v>2</v>
      </c>
      <c r="F218" s="62">
        <v>2</v>
      </c>
      <c r="G218" s="99">
        <v>1380</v>
      </c>
      <c r="H218" s="99">
        <v>0</v>
      </c>
      <c r="I218" s="100">
        <v>1995</v>
      </c>
      <c r="J218" s="62">
        <v>1</v>
      </c>
      <c r="K218" s="62" t="s">
        <v>180</v>
      </c>
      <c r="L218" s="101">
        <v>222000</v>
      </c>
      <c r="M218" s="101">
        <v>202000</v>
      </c>
      <c r="N218" s="62">
        <v>61</v>
      </c>
      <c r="O218" s="102">
        <v>3.04</v>
      </c>
      <c r="P218" s="103">
        <f t="shared" si="24"/>
        <v>46174</v>
      </c>
      <c r="Q218" s="104">
        <f t="shared" si="25"/>
        <v>146.37681159420291</v>
      </c>
      <c r="R218" s="105">
        <f t="shared" si="26"/>
        <v>0.90990990990990994</v>
      </c>
      <c r="S218" s="101">
        <f t="shared" si="27"/>
        <v>-20000</v>
      </c>
      <c r="T218" s="104">
        <f t="shared" si="28"/>
        <v>6140.8</v>
      </c>
      <c r="U218" s="62">
        <f t="shared" si="29"/>
        <v>31</v>
      </c>
      <c r="V218" s="62" t="str">
        <f t="shared" si="30"/>
        <v>$200-300K</v>
      </c>
      <c r="W218" s="62" t="str">
        <f t="shared" si="31"/>
        <v/>
      </c>
      <c r="X218" s="62"/>
    </row>
    <row r="219" spans="1:24" x14ac:dyDescent="0.35">
      <c r="A219" s="62">
        <v>10190</v>
      </c>
      <c r="B219" s="98">
        <v>46182</v>
      </c>
      <c r="C219" s="62" t="s">
        <v>76</v>
      </c>
      <c r="D219" s="62" t="s">
        <v>28</v>
      </c>
      <c r="E219" s="62">
        <v>3</v>
      </c>
      <c r="F219" s="62">
        <v>2</v>
      </c>
      <c r="G219" s="99">
        <v>1620</v>
      </c>
      <c r="H219" s="99">
        <v>1970</v>
      </c>
      <c r="I219" s="100">
        <v>2017</v>
      </c>
      <c r="J219" s="62">
        <v>2</v>
      </c>
      <c r="K219" s="62" t="s">
        <v>179</v>
      </c>
      <c r="L219" s="101">
        <v>378000</v>
      </c>
      <c r="M219" s="101">
        <v>364000</v>
      </c>
      <c r="N219" s="62">
        <v>55</v>
      </c>
      <c r="O219" s="102">
        <v>2.52</v>
      </c>
      <c r="P219" s="103">
        <f t="shared" si="24"/>
        <v>46174</v>
      </c>
      <c r="Q219" s="104">
        <f t="shared" si="25"/>
        <v>224.69135802469137</v>
      </c>
      <c r="R219" s="105">
        <f t="shared" si="26"/>
        <v>0.96296296296296291</v>
      </c>
      <c r="S219" s="101">
        <f t="shared" si="27"/>
        <v>-14000</v>
      </c>
      <c r="T219" s="104">
        <f t="shared" si="28"/>
        <v>9172.7999999999993</v>
      </c>
      <c r="U219" s="62">
        <f t="shared" si="29"/>
        <v>9</v>
      </c>
      <c r="V219" s="62" t="str">
        <f t="shared" si="30"/>
        <v>$300-400K</v>
      </c>
      <c r="W219" s="62" t="str">
        <f t="shared" si="31"/>
        <v/>
      </c>
      <c r="X219" s="62" t="s">
        <v>441</v>
      </c>
    </row>
    <row r="220" spans="1:24" x14ac:dyDescent="0.35">
      <c r="A220" s="62">
        <v>10154</v>
      </c>
      <c r="B220" s="98">
        <v>46186</v>
      </c>
      <c r="C220" s="62" t="s">
        <v>74</v>
      </c>
      <c r="D220" s="62" t="s">
        <v>27</v>
      </c>
      <c r="E220" s="62">
        <v>3</v>
      </c>
      <c r="F220" s="62">
        <v>3</v>
      </c>
      <c r="G220" s="99">
        <v>1750</v>
      </c>
      <c r="H220" s="99">
        <v>5520</v>
      </c>
      <c r="I220" s="100">
        <v>1953</v>
      </c>
      <c r="J220" s="62">
        <v>1</v>
      </c>
      <c r="K220" s="62" t="s">
        <v>178</v>
      </c>
      <c r="L220" s="101">
        <v>394000</v>
      </c>
      <c r="M220" s="101">
        <v>385000</v>
      </c>
      <c r="N220" s="62">
        <v>38</v>
      </c>
      <c r="O220" s="102">
        <v>2.75</v>
      </c>
      <c r="P220" s="103">
        <f t="shared" si="24"/>
        <v>46174</v>
      </c>
      <c r="Q220" s="104">
        <f t="shared" si="25"/>
        <v>220</v>
      </c>
      <c r="R220" s="105">
        <f t="shared" si="26"/>
        <v>0.97715736040609136</v>
      </c>
      <c r="S220" s="101">
        <f t="shared" si="27"/>
        <v>-9000</v>
      </c>
      <c r="T220" s="104">
        <f t="shared" si="28"/>
        <v>10587.5</v>
      </c>
      <c r="U220" s="62">
        <f t="shared" si="29"/>
        <v>73</v>
      </c>
      <c r="V220" s="62" t="str">
        <f t="shared" si="30"/>
        <v>$300-400K</v>
      </c>
      <c r="W220" s="62" t="str">
        <f t="shared" si="31"/>
        <v/>
      </c>
      <c r="X220" s="62"/>
    </row>
    <row r="221" spans="1:24" x14ac:dyDescent="0.35">
      <c r="A221" s="62">
        <v>10150</v>
      </c>
      <c r="B221" s="98">
        <v>46188</v>
      </c>
      <c r="C221" s="62" t="s">
        <v>75</v>
      </c>
      <c r="D221" s="62" t="s">
        <v>27</v>
      </c>
      <c r="E221" s="62">
        <v>3</v>
      </c>
      <c r="F221" s="62">
        <v>2</v>
      </c>
      <c r="G221" s="99">
        <v>1670</v>
      </c>
      <c r="H221" s="99">
        <v>5990</v>
      </c>
      <c r="I221" s="100">
        <v>1988</v>
      </c>
      <c r="J221" s="62">
        <v>2</v>
      </c>
      <c r="K221" s="62" t="s">
        <v>179</v>
      </c>
      <c r="L221" s="101">
        <v>454000</v>
      </c>
      <c r="M221" s="101">
        <v>435000</v>
      </c>
      <c r="N221" s="62">
        <v>50</v>
      </c>
      <c r="O221" s="102">
        <v>3.15</v>
      </c>
      <c r="P221" s="103">
        <f t="shared" si="24"/>
        <v>46174</v>
      </c>
      <c r="Q221" s="104">
        <f t="shared" si="25"/>
        <v>260.47904191616766</v>
      </c>
      <c r="R221" s="105">
        <f t="shared" si="26"/>
        <v>0.95814977973568283</v>
      </c>
      <c r="S221" s="101">
        <f t="shared" si="27"/>
        <v>-19000</v>
      </c>
      <c r="T221" s="104">
        <f t="shared" si="28"/>
        <v>13702.5</v>
      </c>
      <c r="U221" s="62">
        <f t="shared" si="29"/>
        <v>38</v>
      </c>
      <c r="V221" s="62" t="str">
        <f t="shared" si="30"/>
        <v>$400-500K</v>
      </c>
      <c r="W221" s="62" t="str">
        <f t="shared" si="31"/>
        <v/>
      </c>
      <c r="X221" s="62" t="s">
        <v>431</v>
      </c>
    </row>
    <row r="222" spans="1:24" x14ac:dyDescent="0.35">
      <c r="A222" s="62">
        <v>10239</v>
      </c>
      <c r="B222" s="98">
        <v>46188</v>
      </c>
      <c r="C222" s="62" t="s">
        <v>75</v>
      </c>
      <c r="D222" s="62" t="s">
        <v>27</v>
      </c>
      <c r="E222" s="62">
        <v>5</v>
      </c>
      <c r="F222" s="62">
        <v>3.5</v>
      </c>
      <c r="G222" s="99">
        <v>2300</v>
      </c>
      <c r="H222" s="99">
        <v>6410</v>
      </c>
      <c r="I222" s="100">
        <v>2011</v>
      </c>
      <c r="J222" s="62">
        <v>2</v>
      </c>
      <c r="K222" s="62" t="s">
        <v>179</v>
      </c>
      <c r="L222" s="101">
        <v>559000</v>
      </c>
      <c r="M222" s="101">
        <v>536000</v>
      </c>
      <c r="N222" s="62">
        <v>57</v>
      </c>
      <c r="O222" s="102">
        <v>2.4700000000000002</v>
      </c>
      <c r="P222" s="103">
        <f t="shared" si="24"/>
        <v>46174</v>
      </c>
      <c r="Q222" s="104">
        <f t="shared" si="25"/>
        <v>233.04347826086956</v>
      </c>
      <c r="R222" s="105">
        <f t="shared" si="26"/>
        <v>0.95885509838998206</v>
      </c>
      <c r="S222" s="101">
        <f t="shared" si="27"/>
        <v>-23000</v>
      </c>
      <c r="T222" s="104">
        <f t="shared" si="28"/>
        <v>13239.2</v>
      </c>
      <c r="U222" s="62">
        <f t="shared" si="29"/>
        <v>15</v>
      </c>
      <c r="V222" s="62" t="str">
        <f t="shared" si="30"/>
        <v>$500-600K</v>
      </c>
      <c r="W222" s="62" t="str">
        <f t="shared" si="31"/>
        <v/>
      </c>
      <c r="X222" s="62"/>
    </row>
    <row r="223" spans="1:24" x14ac:dyDescent="0.35">
      <c r="A223" s="62">
        <v>10165</v>
      </c>
      <c r="B223" s="98">
        <v>46189</v>
      </c>
      <c r="C223" s="62" t="s">
        <v>74</v>
      </c>
      <c r="D223" s="62" t="s">
        <v>27</v>
      </c>
      <c r="E223" s="62">
        <v>3</v>
      </c>
      <c r="F223" s="62">
        <v>2</v>
      </c>
      <c r="G223" s="99">
        <v>1770</v>
      </c>
      <c r="H223" s="99">
        <v>5940</v>
      </c>
      <c r="I223" s="100">
        <v>1990</v>
      </c>
      <c r="J223" s="62">
        <v>2</v>
      </c>
      <c r="K223" s="62" t="s">
        <v>182</v>
      </c>
      <c r="L223" s="101">
        <v>366000</v>
      </c>
      <c r="M223" s="101">
        <v>374000</v>
      </c>
      <c r="N223" s="62">
        <v>41</v>
      </c>
      <c r="O223" s="102">
        <v>2.97</v>
      </c>
      <c r="P223" s="103">
        <f t="shared" si="24"/>
        <v>46174</v>
      </c>
      <c r="Q223" s="104">
        <f t="shared" si="25"/>
        <v>211.29943502824858</v>
      </c>
      <c r="R223" s="105">
        <f t="shared" si="26"/>
        <v>1.0218579234972678</v>
      </c>
      <c r="S223" s="101">
        <f t="shared" si="27"/>
        <v>8000</v>
      </c>
      <c r="T223" s="104">
        <f t="shared" si="28"/>
        <v>11107.8</v>
      </c>
      <c r="U223" s="62">
        <f t="shared" si="29"/>
        <v>36</v>
      </c>
      <c r="V223" s="62" t="str">
        <f t="shared" si="30"/>
        <v>$300-400K</v>
      </c>
      <c r="W223" s="62" t="str">
        <f t="shared" si="31"/>
        <v/>
      </c>
      <c r="X223" s="62" t="s">
        <v>449</v>
      </c>
    </row>
    <row r="224" spans="1:24" x14ac:dyDescent="0.35">
      <c r="A224" s="62">
        <v>10087</v>
      </c>
      <c r="B224" s="98">
        <v>46194</v>
      </c>
      <c r="C224" s="62" t="s">
        <v>73</v>
      </c>
      <c r="D224" s="62" t="s">
        <v>26</v>
      </c>
      <c r="E224" s="62">
        <v>2</v>
      </c>
      <c r="F224" s="62">
        <v>1.5</v>
      </c>
      <c r="G224" s="99">
        <v>1010</v>
      </c>
      <c r="H224" s="99">
        <v>0</v>
      </c>
      <c r="I224" s="100">
        <v>2018</v>
      </c>
      <c r="J224" s="62">
        <v>0</v>
      </c>
      <c r="K224" s="62" t="s">
        <v>179</v>
      </c>
      <c r="L224" s="101">
        <v>326000</v>
      </c>
      <c r="M224" s="101">
        <v>310000</v>
      </c>
      <c r="N224" s="62">
        <v>66</v>
      </c>
      <c r="O224" s="102">
        <v>3.01</v>
      </c>
      <c r="P224" s="103">
        <f t="shared" si="24"/>
        <v>46174</v>
      </c>
      <c r="Q224" s="104">
        <f t="shared" si="25"/>
        <v>306.93069306930693</v>
      </c>
      <c r="R224" s="105">
        <f t="shared" si="26"/>
        <v>0.95092024539877296</v>
      </c>
      <c r="S224" s="101">
        <f t="shared" si="27"/>
        <v>-16000</v>
      </c>
      <c r="T224" s="104">
        <f t="shared" si="28"/>
        <v>9330.9999999999982</v>
      </c>
      <c r="U224" s="62">
        <f t="shared" si="29"/>
        <v>8</v>
      </c>
      <c r="V224" s="62" t="str">
        <f t="shared" si="30"/>
        <v>$300-400K</v>
      </c>
      <c r="W224" s="62" t="str">
        <f t="shared" si="31"/>
        <v/>
      </c>
      <c r="X224" s="62" t="s">
        <v>441</v>
      </c>
    </row>
    <row r="225" spans="1:24" x14ac:dyDescent="0.35">
      <c r="A225" s="62">
        <v>10001</v>
      </c>
      <c r="B225" s="98">
        <v>46196</v>
      </c>
      <c r="C225" s="62" t="s">
        <v>73</v>
      </c>
      <c r="D225" s="62" t="s">
        <v>28</v>
      </c>
      <c r="E225" s="62">
        <v>2</v>
      </c>
      <c r="F225" s="62">
        <v>1.5</v>
      </c>
      <c r="G225" s="99">
        <v>1470</v>
      </c>
      <c r="H225" s="99">
        <v>1960</v>
      </c>
      <c r="I225" s="100">
        <v>1945</v>
      </c>
      <c r="J225" s="62">
        <v>2</v>
      </c>
      <c r="K225" s="62" t="s">
        <v>179</v>
      </c>
      <c r="L225" s="101">
        <v>367000</v>
      </c>
      <c r="M225" s="101">
        <v>357000</v>
      </c>
      <c r="N225" s="62">
        <v>53</v>
      </c>
      <c r="O225" s="102">
        <v>3.3</v>
      </c>
      <c r="P225" s="103">
        <f t="shared" si="24"/>
        <v>46174</v>
      </c>
      <c r="Q225" s="104">
        <f t="shared" si="25"/>
        <v>242.85714285714286</v>
      </c>
      <c r="R225" s="105">
        <f t="shared" si="26"/>
        <v>0.97275204359673029</v>
      </c>
      <c r="S225" s="101">
        <f t="shared" si="27"/>
        <v>-10000</v>
      </c>
      <c r="T225" s="104">
        <f t="shared" si="28"/>
        <v>11781</v>
      </c>
      <c r="U225" s="62">
        <f t="shared" si="29"/>
        <v>81</v>
      </c>
      <c r="V225" s="62" t="str">
        <f t="shared" si="30"/>
        <v>$300-400K</v>
      </c>
      <c r="W225" s="62" t="str">
        <f t="shared" si="31"/>
        <v/>
      </c>
      <c r="X225" s="62" t="s">
        <v>444</v>
      </c>
    </row>
    <row r="226" spans="1:24" x14ac:dyDescent="0.35">
      <c r="A226" s="62">
        <v>10129</v>
      </c>
      <c r="B226" s="98">
        <v>46205</v>
      </c>
      <c r="C226" s="62" t="s">
        <v>75</v>
      </c>
      <c r="D226" s="62" t="s">
        <v>27</v>
      </c>
      <c r="E226" s="62">
        <v>4</v>
      </c>
      <c r="F226" s="62">
        <v>4</v>
      </c>
      <c r="G226" s="99">
        <v>2000</v>
      </c>
      <c r="H226" s="99">
        <v>8670</v>
      </c>
      <c r="I226" s="100">
        <v>2002</v>
      </c>
      <c r="J226" s="62">
        <v>1</v>
      </c>
      <c r="K226" s="62" t="s">
        <v>179</v>
      </c>
      <c r="L226" s="101">
        <v>486000</v>
      </c>
      <c r="M226" s="101">
        <v>470000</v>
      </c>
      <c r="N226" s="62">
        <v>55</v>
      </c>
      <c r="O226" s="102">
        <v>2.58</v>
      </c>
      <c r="P226" s="103">
        <f t="shared" si="24"/>
        <v>46204</v>
      </c>
      <c r="Q226" s="104">
        <f t="shared" si="25"/>
        <v>235</v>
      </c>
      <c r="R226" s="105">
        <f t="shared" si="26"/>
        <v>0.96707818930041156</v>
      </c>
      <c r="S226" s="101">
        <f t="shared" si="27"/>
        <v>-16000</v>
      </c>
      <c r="T226" s="104">
        <f t="shared" si="28"/>
        <v>12126</v>
      </c>
      <c r="U226" s="62">
        <f t="shared" si="29"/>
        <v>24</v>
      </c>
      <c r="V226" s="62" t="str">
        <f t="shared" si="30"/>
        <v>$400-500K</v>
      </c>
      <c r="W226" s="62" t="str">
        <f t="shared" si="31"/>
        <v/>
      </c>
      <c r="X226" s="62" t="s">
        <v>431</v>
      </c>
    </row>
    <row r="227" spans="1:24" x14ac:dyDescent="0.35">
      <c r="A227" s="62">
        <v>10152</v>
      </c>
      <c r="B227" s="98">
        <v>46205</v>
      </c>
      <c r="C227" s="62" t="s">
        <v>72</v>
      </c>
      <c r="D227" s="62" t="s">
        <v>26</v>
      </c>
      <c r="E227" s="62">
        <v>1</v>
      </c>
      <c r="F227" s="62">
        <v>1</v>
      </c>
      <c r="G227" s="99">
        <v>840</v>
      </c>
      <c r="H227" s="99">
        <v>0</v>
      </c>
      <c r="I227" s="100">
        <v>1984</v>
      </c>
      <c r="J227" s="62">
        <v>1</v>
      </c>
      <c r="K227" s="62" t="s">
        <v>180</v>
      </c>
      <c r="L227" s="101">
        <v>131000</v>
      </c>
      <c r="M227" s="101">
        <v>139000</v>
      </c>
      <c r="N227" s="62">
        <v>58</v>
      </c>
      <c r="O227" s="102"/>
      <c r="P227" s="103">
        <f t="shared" si="24"/>
        <v>46204</v>
      </c>
      <c r="Q227" s="104">
        <f t="shared" si="25"/>
        <v>165.47619047619048</v>
      </c>
      <c r="R227" s="105">
        <f t="shared" si="26"/>
        <v>1.0610687022900764</v>
      </c>
      <c r="S227" s="101">
        <f t="shared" si="27"/>
        <v>8000</v>
      </c>
      <c r="T227" s="104" t="str">
        <f t="shared" si="28"/>
        <v/>
      </c>
      <c r="U227" s="62">
        <f t="shared" si="29"/>
        <v>42</v>
      </c>
      <c r="V227" s="62" t="str">
        <f t="shared" si="30"/>
        <v>Under $200K</v>
      </c>
      <c r="W227" s="62" t="str">
        <f t="shared" si="31"/>
        <v/>
      </c>
      <c r="X227" s="62" t="s">
        <v>458</v>
      </c>
    </row>
    <row r="228" spans="1:24" x14ac:dyDescent="0.35">
      <c r="A228" s="62">
        <v>10163</v>
      </c>
      <c r="B228" s="98">
        <v>46207</v>
      </c>
      <c r="C228" s="62" t="s">
        <v>76</v>
      </c>
      <c r="D228" s="62" t="s">
        <v>27</v>
      </c>
      <c r="E228" s="62">
        <v>4</v>
      </c>
      <c r="F228" s="62">
        <v>3</v>
      </c>
      <c r="G228" s="99">
        <v>2300</v>
      </c>
      <c r="H228" s="99">
        <v>7310</v>
      </c>
      <c r="I228" s="100">
        <v>1948</v>
      </c>
      <c r="J228" s="62">
        <v>2</v>
      </c>
      <c r="K228" s="62" t="s">
        <v>180</v>
      </c>
      <c r="L228" s="101">
        <v>444000</v>
      </c>
      <c r="M228" s="101">
        <v>457000</v>
      </c>
      <c r="N228" s="62">
        <v>124</v>
      </c>
      <c r="O228" s="102">
        <v>3</v>
      </c>
      <c r="P228" s="103">
        <f t="shared" si="24"/>
        <v>46204</v>
      </c>
      <c r="Q228" s="104">
        <f t="shared" si="25"/>
        <v>198.69565217391303</v>
      </c>
      <c r="R228" s="105">
        <f t="shared" si="26"/>
        <v>1.0292792792792793</v>
      </c>
      <c r="S228" s="101">
        <f t="shared" si="27"/>
        <v>13000</v>
      </c>
      <c r="T228" s="104">
        <f t="shared" si="28"/>
        <v>13710</v>
      </c>
      <c r="U228" s="62">
        <f t="shared" si="29"/>
        <v>78</v>
      </c>
      <c r="V228" s="62" t="str">
        <f t="shared" si="30"/>
        <v>$400-500K</v>
      </c>
      <c r="W228" s="62" t="str">
        <f t="shared" si="31"/>
        <v>Long DOM</v>
      </c>
      <c r="X228" s="62"/>
    </row>
    <row r="229" spans="1:24" x14ac:dyDescent="0.35">
      <c r="A229" s="62">
        <v>10173</v>
      </c>
      <c r="B229" s="98">
        <v>46207</v>
      </c>
      <c r="C229" s="62" t="s">
        <v>76</v>
      </c>
      <c r="D229" s="62" t="s">
        <v>27</v>
      </c>
      <c r="E229" s="62">
        <v>3</v>
      </c>
      <c r="F229" s="62">
        <v>2.5</v>
      </c>
      <c r="G229" s="99">
        <v>1760</v>
      </c>
      <c r="H229" s="99">
        <v>7210</v>
      </c>
      <c r="I229" s="100">
        <v>2014</v>
      </c>
      <c r="J229" s="62">
        <v>2</v>
      </c>
      <c r="K229" s="62" t="s">
        <v>179</v>
      </c>
      <c r="L229" s="101">
        <v>423000</v>
      </c>
      <c r="M229" s="101">
        <v>387000</v>
      </c>
      <c r="N229" s="62">
        <v>86</v>
      </c>
      <c r="O229" s="102">
        <v>2.93</v>
      </c>
      <c r="P229" s="103">
        <f t="shared" si="24"/>
        <v>46204</v>
      </c>
      <c r="Q229" s="104">
        <f t="shared" si="25"/>
        <v>219.88636363636363</v>
      </c>
      <c r="R229" s="105">
        <f t="shared" si="26"/>
        <v>0.91489361702127658</v>
      </c>
      <c r="S229" s="101">
        <f t="shared" si="27"/>
        <v>-36000</v>
      </c>
      <c r="T229" s="104">
        <f t="shared" si="28"/>
        <v>11339.1</v>
      </c>
      <c r="U229" s="62">
        <f t="shared" si="29"/>
        <v>12</v>
      </c>
      <c r="V229" s="62" t="str">
        <f t="shared" si="30"/>
        <v>$300-400K</v>
      </c>
      <c r="W229" s="62" t="str">
        <f t="shared" si="31"/>
        <v/>
      </c>
      <c r="X229" s="62" t="s">
        <v>441</v>
      </c>
    </row>
    <row r="230" spans="1:24" x14ac:dyDescent="0.35">
      <c r="A230" s="62">
        <v>10232</v>
      </c>
      <c r="B230" s="98">
        <v>46207</v>
      </c>
      <c r="C230" s="62" t="s">
        <v>76</v>
      </c>
      <c r="D230" s="62" t="s">
        <v>27</v>
      </c>
      <c r="E230" s="62">
        <v>2</v>
      </c>
      <c r="F230" s="62">
        <v>2</v>
      </c>
      <c r="G230" s="99">
        <v>1040</v>
      </c>
      <c r="H230" s="99">
        <v>2610</v>
      </c>
      <c r="I230" s="100">
        <v>1963</v>
      </c>
      <c r="J230" s="62">
        <v>2</v>
      </c>
      <c r="K230" s="62" t="s">
        <v>180</v>
      </c>
      <c r="L230" s="101">
        <v>223000</v>
      </c>
      <c r="M230" s="101">
        <v>209000</v>
      </c>
      <c r="N230" s="62">
        <v>44</v>
      </c>
      <c r="O230" s="102">
        <v>3.24</v>
      </c>
      <c r="P230" s="103">
        <f t="shared" si="24"/>
        <v>46204</v>
      </c>
      <c r="Q230" s="104">
        <f t="shared" si="25"/>
        <v>200.96153846153845</v>
      </c>
      <c r="R230" s="105">
        <f t="shared" si="26"/>
        <v>0.93721973094170408</v>
      </c>
      <c r="S230" s="101">
        <f t="shared" si="27"/>
        <v>-14000</v>
      </c>
      <c r="T230" s="104">
        <f t="shared" si="28"/>
        <v>6771.6</v>
      </c>
      <c r="U230" s="62">
        <f t="shared" si="29"/>
        <v>63</v>
      </c>
      <c r="V230" s="62" t="str">
        <f t="shared" si="30"/>
        <v>$200-300K</v>
      </c>
      <c r="W230" s="62" t="str">
        <f t="shared" si="31"/>
        <v/>
      </c>
      <c r="X230" s="62" t="s">
        <v>460</v>
      </c>
    </row>
    <row r="231" spans="1:24" x14ac:dyDescent="0.35">
      <c r="A231" s="62">
        <v>10133</v>
      </c>
      <c r="B231" s="98">
        <v>46210</v>
      </c>
      <c r="C231" s="62" t="s">
        <v>74</v>
      </c>
      <c r="D231" s="62" t="s">
        <v>28</v>
      </c>
      <c r="E231" s="62">
        <v>2</v>
      </c>
      <c r="F231" s="62">
        <v>2</v>
      </c>
      <c r="G231" s="99">
        <v>1280</v>
      </c>
      <c r="H231" s="99">
        <v>1270</v>
      </c>
      <c r="I231" s="100">
        <v>1966</v>
      </c>
      <c r="J231" s="62">
        <v>2</v>
      </c>
      <c r="K231" s="62" t="s">
        <v>180</v>
      </c>
      <c r="L231" s="101">
        <v>236000</v>
      </c>
      <c r="M231" s="101">
        <v>227000</v>
      </c>
      <c r="N231" s="62">
        <v>88</v>
      </c>
      <c r="O231" s="102">
        <v>3.16</v>
      </c>
      <c r="P231" s="103">
        <f t="shared" si="24"/>
        <v>46204</v>
      </c>
      <c r="Q231" s="104">
        <f t="shared" si="25"/>
        <v>177.34375</v>
      </c>
      <c r="R231" s="105">
        <f t="shared" si="26"/>
        <v>0.96186440677966101</v>
      </c>
      <c r="S231" s="101">
        <f t="shared" si="27"/>
        <v>-9000</v>
      </c>
      <c r="T231" s="104">
        <f t="shared" si="28"/>
        <v>7173.2</v>
      </c>
      <c r="U231" s="62">
        <f t="shared" si="29"/>
        <v>60</v>
      </c>
      <c r="V231" s="62" t="str">
        <f t="shared" si="30"/>
        <v>$200-300K</v>
      </c>
      <c r="W231" s="62" t="str">
        <f t="shared" si="31"/>
        <v/>
      </c>
      <c r="X231" s="62"/>
    </row>
    <row r="232" spans="1:24" x14ac:dyDescent="0.35">
      <c r="A232" s="62">
        <v>10029</v>
      </c>
      <c r="B232" s="98">
        <v>46211</v>
      </c>
      <c r="C232" s="62" t="s">
        <v>75</v>
      </c>
      <c r="D232" s="62" t="s">
        <v>26</v>
      </c>
      <c r="E232" s="62">
        <v>2</v>
      </c>
      <c r="F232" s="62">
        <v>1.5</v>
      </c>
      <c r="G232" s="99">
        <v>1370</v>
      </c>
      <c r="H232" s="99">
        <v>0</v>
      </c>
      <c r="I232" s="100">
        <v>1938</v>
      </c>
      <c r="J232" s="62">
        <v>0</v>
      </c>
      <c r="K232" s="62" t="s">
        <v>180</v>
      </c>
      <c r="L232" s="101">
        <v>289000</v>
      </c>
      <c r="M232" s="101">
        <v>284000</v>
      </c>
      <c r="N232" s="62">
        <v>99</v>
      </c>
      <c r="O232" s="102">
        <v>2.4500000000000002</v>
      </c>
      <c r="P232" s="103">
        <f t="shared" si="24"/>
        <v>46204</v>
      </c>
      <c r="Q232" s="104">
        <f t="shared" si="25"/>
        <v>207.2992700729927</v>
      </c>
      <c r="R232" s="105">
        <f t="shared" si="26"/>
        <v>0.98269896193771622</v>
      </c>
      <c r="S232" s="101">
        <f t="shared" si="27"/>
        <v>-5000</v>
      </c>
      <c r="T232" s="104">
        <f t="shared" si="28"/>
        <v>6958</v>
      </c>
      <c r="U232" s="62">
        <f t="shared" si="29"/>
        <v>88</v>
      </c>
      <c r="V232" s="62" t="str">
        <f t="shared" si="30"/>
        <v>$200-300K</v>
      </c>
      <c r="W232" s="62" t="str">
        <f t="shared" si="31"/>
        <v/>
      </c>
      <c r="X232" s="62" t="s">
        <v>433</v>
      </c>
    </row>
    <row r="233" spans="1:24" x14ac:dyDescent="0.35">
      <c r="A233" s="62">
        <v>10033</v>
      </c>
      <c r="B233" s="98">
        <v>46212</v>
      </c>
      <c r="C233" s="62" t="s">
        <v>76</v>
      </c>
      <c r="D233" s="62" t="s">
        <v>27</v>
      </c>
      <c r="E233" s="62">
        <v>3</v>
      </c>
      <c r="F233" s="62">
        <v>3</v>
      </c>
      <c r="G233" s="99">
        <v>1630</v>
      </c>
      <c r="H233" s="99">
        <v>3670</v>
      </c>
      <c r="I233" s="100">
        <v>1982</v>
      </c>
      <c r="J233" s="62">
        <v>1</v>
      </c>
      <c r="K233" s="62" t="s">
        <v>179</v>
      </c>
      <c r="L233" s="101">
        <v>361000</v>
      </c>
      <c r="M233" s="101">
        <v>343000</v>
      </c>
      <c r="N233" s="62">
        <v>35</v>
      </c>
      <c r="O233" s="102">
        <v>2.89</v>
      </c>
      <c r="P233" s="103">
        <f t="shared" si="24"/>
        <v>46204</v>
      </c>
      <c r="Q233" s="104">
        <f t="shared" si="25"/>
        <v>210.42944785276075</v>
      </c>
      <c r="R233" s="105">
        <f t="shared" si="26"/>
        <v>0.95013850415512469</v>
      </c>
      <c r="S233" s="101">
        <f t="shared" si="27"/>
        <v>-18000</v>
      </c>
      <c r="T233" s="104">
        <f t="shared" si="28"/>
        <v>9912.7000000000007</v>
      </c>
      <c r="U233" s="62">
        <f t="shared" si="29"/>
        <v>44</v>
      </c>
      <c r="V233" s="62" t="str">
        <f t="shared" si="30"/>
        <v>$300-400K</v>
      </c>
      <c r="W233" s="62" t="str">
        <f t="shared" si="31"/>
        <v/>
      </c>
      <c r="X233" s="62"/>
    </row>
    <row r="234" spans="1:24" x14ac:dyDescent="0.35">
      <c r="A234" s="62">
        <v>10038</v>
      </c>
      <c r="B234" s="98">
        <v>46214</v>
      </c>
      <c r="C234" s="62" t="s">
        <v>74</v>
      </c>
      <c r="D234" s="62" t="s">
        <v>27</v>
      </c>
      <c r="E234" s="62">
        <v>3</v>
      </c>
      <c r="F234" s="62">
        <v>2.5</v>
      </c>
      <c r="G234" s="99">
        <v>1540</v>
      </c>
      <c r="H234" s="99">
        <v>5630</v>
      </c>
      <c r="I234" s="100"/>
      <c r="J234" s="62">
        <v>1</v>
      </c>
      <c r="K234" s="62" t="s">
        <v>178</v>
      </c>
      <c r="L234" s="101">
        <v>320000</v>
      </c>
      <c r="M234" s="101">
        <v>310000</v>
      </c>
      <c r="N234" s="62">
        <v>24</v>
      </c>
      <c r="O234" s="102"/>
      <c r="P234" s="103">
        <f t="shared" si="24"/>
        <v>46204</v>
      </c>
      <c r="Q234" s="104">
        <f t="shared" si="25"/>
        <v>201.2987012987013</v>
      </c>
      <c r="R234" s="105">
        <f t="shared" si="26"/>
        <v>0.96875</v>
      </c>
      <c r="S234" s="101">
        <f t="shared" si="27"/>
        <v>-10000</v>
      </c>
      <c r="T234" s="104" t="str">
        <f t="shared" si="28"/>
        <v/>
      </c>
      <c r="U234" s="62" t="str">
        <f t="shared" si="29"/>
        <v/>
      </c>
      <c r="V234" s="62" t="str">
        <f t="shared" si="30"/>
        <v>$300-400K</v>
      </c>
      <c r="W234" s="62" t="str">
        <f t="shared" si="31"/>
        <v/>
      </c>
      <c r="X234" s="62" t="s">
        <v>437</v>
      </c>
    </row>
    <row r="235" spans="1:24" x14ac:dyDescent="0.35">
      <c r="A235" s="62">
        <v>10090</v>
      </c>
      <c r="B235" s="98">
        <v>46216</v>
      </c>
      <c r="C235" s="62" t="s">
        <v>74</v>
      </c>
      <c r="D235" s="62" t="s">
        <v>26</v>
      </c>
      <c r="E235" s="62">
        <v>2</v>
      </c>
      <c r="F235" s="62">
        <v>1.5</v>
      </c>
      <c r="G235" s="99">
        <v>1380</v>
      </c>
      <c r="H235" s="99">
        <v>0</v>
      </c>
      <c r="I235" s="100">
        <v>1975</v>
      </c>
      <c r="J235" s="62">
        <v>0</v>
      </c>
      <c r="K235" s="62" t="s">
        <v>181</v>
      </c>
      <c r="L235" s="101">
        <v>194000</v>
      </c>
      <c r="M235" s="101">
        <v>196000</v>
      </c>
      <c r="N235" s="62">
        <v>74</v>
      </c>
      <c r="O235" s="102"/>
      <c r="P235" s="103">
        <f t="shared" si="24"/>
        <v>46204</v>
      </c>
      <c r="Q235" s="104">
        <f t="shared" si="25"/>
        <v>142.02898550724638</v>
      </c>
      <c r="R235" s="105">
        <f t="shared" si="26"/>
        <v>1.0103092783505154</v>
      </c>
      <c r="S235" s="101">
        <f t="shared" si="27"/>
        <v>2000</v>
      </c>
      <c r="T235" s="104" t="str">
        <f t="shared" si="28"/>
        <v/>
      </c>
      <c r="U235" s="62">
        <f t="shared" si="29"/>
        <v>51</v>
      </c>
      <c r="V235" s="62" t="str">
        <f t="shared" si="30"/>
        <v>Under $200K</v>
      </c>
      <c r="W235" s="62" t="str">
        <f t="shared" si="31"/>
        <v/>
      </c>
      <c r="X235" s="62" t="s">
        <v>454</v>
      </c>
    </row>
    <row r="236" spans="1:24" x14ac:dyDescent="0.35">
      <c r="A236" s="62">
        <v>10233</v>
      </c>
      <c r="B236" s="98">
        <v>46216</v>
      </c>
      <c r="C236" s="62" t="s">
        <v>72</v>
      </c>
      <c r="D236" s="62" t="s">
        <v>27</v>
      </c>
      <c r="E236" s="62">
        <v>4</v>
      </c>
      <c r="F236" s="62">
        <v>2.5</v>
      </c>
      <c r="G236" s="99">
        <v>1940</v>
      </c>
      <c r="H236" s="99">
        <v>5700</v>
      </c>
      <c r="I236" s="100"/>
      <c r="J236" s="62">
        <v>2</v>
      </c>
      <c r="K236" s="62" t="s">
        <v>179</v>
      </c>
      <c r="L236" s="101">
        <v>362000</v>
      </c>
      <c r="M236" s="101">
        <v>352000</v>
      </c>
      <c r="N236" s="62">
        <v>31</v>
      </c>
      <c r="O236" s="102">
        <v>2.92</v>
      </c>
      <c r="P236" s="103">
        <f t="shared" si="24"/>
        <v>46204</v>
      </c>
      <c r="Q236" s="104">
        <f t="shared" si="25"/>
        <v>181.44329896907217</v>
      </c>
      <c r="R236" s="105">
        <f t="shared" si="26"/>
        <v>0.97237569060773477</v>
      </c>
      <c r="S236" s="101">
        <f t="shared" si="27"/>
        <v>-10000</v>
      </c>
      <c r="T236" s="104">
        <f t="shared" si="28"/>
        <v>10278.4</v>
      </c>
      <c r="U236" s="62" t="str">
        <f t="shared" si="29"/>
        <v/>
      </c>
      <c r="V236" s="62" t="str">
        <f t="shared" si="30"/>
        <v>$300-400K</v>
      </c>
      <c r="W236" s="62" t="str">
        <f t="shared" si="31"/>
        <v/>
      </c>
      <c r="X236" s="62" t="s">
        <v>434</v>
      </c>
    </row>
    <row r="237" spans="1:24" x14ac:dyDescent="0.35">
      <c r="A237" s="62">
        <v>10030</v>
      </c>
      <c r="B237" s="98">
        <v>46217</v>
      </c>
      <c r="C237" s="62" t="s">
        <v>74</v>
      </c>
      <c r="D237" s="62" t="s">
        <v>26</v>
      </c>
      <c r="E237" s="62">
        <v>3</v>
      </c>
      <c r="F237" s="62">
        <v>2.5</v>
      </c>
      <c r="G237" s="99">
        <v>1770</v>
      </c>
      <c r="H237" s="99">
        <v>0</v>
      </c>
      <c r="I237" s="100">
        <v>2022</v>
      </c>
      <c r="J237" s="62">
        <v>0</v>
      </c>
      <c r="K237" s="62" t="s">
        <v>179</v>
      </c>
      <c r="L237" s="101">
        <v>327000</v>
      </c>
      <c r="M237" s="101">
        <v>303000</v>
      </c>
      <c r="N237" s="62">
        <v>37</v>
      </c>
      <c r="O237" s="102">
        <v>3.24</v>
      </c>
      <c r="P237" s="103">
        <f t="shared" si="24"/>
        <v>46204</v>
      </c>
      <c r="Q237" s="104">
        <f t="shared" si="25"/>
        <v>171.18644067796609</v>
      </c>
      <c r="R237" s="105">
        <f t="shared" si="26"/>
        <v>0.92660550458715596</v>
      </c>
      <c r="S237" s="101">
        <f t="shared" si="27"/>
        <v>-24000</v>
      </c>
      <c r="T237" s="104">
        <f t="shared" si="28"/>
        <v>9817.2000000000007</v>
      </c>
      <c r="U237" s="62">
        <f t="shared" si="29"/>
        <v>4</v>
      </c>
      <c r="V237" s="62" t="str">
        <f t="shared" si="30"/>
        <v>$300-400K</v>
      </c>
      <c r="W237" s="62" t="str">
        <f t="shared" si="31"/>
        <v/>
      </c>
      <c r="X237" s="62"/>
    </row>
    <row r="238" spans="1:24" x14ac:dyDescent="0.35">
      <c r="A238" s="62">
        <v>10117</v>
      </c>
      <c r="B238" s="98">
        <v>46218</v>
      </c>
      <c r="C238" s="62" t="s">
        <v>73</v>
      </c>
      <c r="D238" s="62" t="s">
        <v>28</v>
      </c>
      <c r="E238" s="62">
        <v>2</v>
      </c>
      <c r="F238" s="62">
        <v>2</v>
      </c>
      <c r="G238" s="99">
        <v>1320</v>
      </c>
      <c r="H238" s="99">
        <v>1720</v>
      </c>
      <c r="I238" s="100">
        <v>2022</v>
      </c>
      <c r="J238" s="62">
        <v>2</v>
      </c>
      <c r="K238" s="62" t="s">
        <v>180</v>
      </c>
      <c r="L238" s="101">
        <v>441000</v>
      </c>
      <c r="M238" s="101">
        <v>425000</v>
      </c>
      <c r="N238" s="62">
        <v>52</v>
      </c>
      <c r="O238" s="102">
        <v>3.08</v>
      </c>
      <c r="P238" s="103">
        <f t="shared" si="24"/>
        <v>46204</v>
      </c>
      <c r="Q238" s="104">
        <f t="shared" si="25"/>
        <v>321.969696969697</v>
      </c>
      <c r="R238" s="105">
        <f t="shared" si="26"/>
        <v>0.96371882086167804</v>
      </c>
      <c r="S238" s="101">
        <f t="shared" si="27"/>
        <v>-16000</v>
      </c>
      <c r="T238" s="104">
        <f t="shared" si="28"/>
        <v>13090</v>
      </c>
      <c r="U238" s="62">
        <f t="shared" si="29"/>
        <v>4</v>
      </c>
      <c r="V238" s="62" t="str">
        <f t="shared" si="30"/>
        <v>$400-500K</v>
      </c>
      <c r="W238" s="62" t="str">
        <f t="shared" si="31"/>
        <v/>
      </c>
      <c r="X238" s="62" t="s">
        <v>460</v>
      </c>
    </row>
    <row r="239" spans="1:24" x14ac:dyDescent="0.35">
      <c r="A239" s="62">
        <v>10147</v>
      </c>
      <c r="B239" s="98">
        <v>46218</v>
      </c>
      <c r="C239" s="62" t="s">
        <v>76</v>
      </c>
      <c r="D239" s="62" t="s">
        <v>26</v>
      </c>
      <c r="E239" s="62">
        <v>1</v>
      </c>
      <c r="F239" s="62">
        <v>1</v>
      </c>
      <c r="G239" s="99">
        <v>970</v>
      </c>
      <c r="H239" s="99">
        <v>0</v>
      </c>
      <c r="I239" s="100">
        <v>1986</v>
      </c>
      <c r="J239" s="62">
        <v>1</v>
      </c>
      <c r="K239" s="62" t="s">
        <v>180</v>
      </c>
      <c r="L239" s="101">
        <v>221000</v>
      </c>
      <c r="M239" s="101">
        <v>215000</v>
      </c>
      <c r="N239" s="62">
        <v>80</v>
      </c>
      <c r="O239" s="102">
        <v>2.97</v>
      </c>
      <c r="P239" s="103">
        <f t="shared" si="24"/>
        <v>46204</v>
      </c>
      <c r="Q239" s="104">
        <f t="shared" si="25"/>
        <v>221.64948453608247</v>
      </c>
      <c r="R239" s="105">
        <f t="shared" si="26"/>
        <v>0.97285067873303166</v>
      </c>
      <c r="S239" s="101">
        <f t="shared" si="27"/>
        <v>-6000</v>
      </c>
      <c r="T239" s="104">
        <f t="shared" si="28"/>
        <v>6385.5</v>
      </c>
      <c r="U239" s="62">
        <f t="shared" si="29"/>
        <v>40</v>
      </c>
      <c r="V239" s="62" t="str">
        <f t="shared" si="30"/>
        <v>$200-300K</v>
      </c>
      <c r="W239" s="62" t="str">
        <f t="shared" si="31"/>
        <v/>
      </c>
      <c r="X239" s="62"/>
    </row>
    <row r="240" spans="1:24" x14ac:dyDescent="0.35">
      <c r="A240" s="62">
        <v>10058</v>
      </c>
      <c r="B240" s="98">
        <v>46224</v>
      </c>
      <c r="C240" s="62" t="s">
        <v>74</v>
      </c>
      <c r="D240" s="62" t="s">
        <v>28</v>
      </c>
      <c r="E240" s="62">
        <v>2</v>
      </c>
      <c r="F240" s="62">
        <v>2</v>
      </c>
      <c r="G240" s="99">
        <v>1530</v>
      </c>
      <c r="H240" s="99">
        <v>1820</v>
      </c>
      <c r="I240" s="100">
        <v>2009</v>
      </c>
      <c r="J240" s="62">
        <v>2</v>
      </c>
      <c r="K240" s="62" t="s">
        <v>178</v>
      </c>
      <c r="L240" s="101">
        <v>363000</v>
      </c>
      <c r="M240" s="101">
        <v>358000</v>
      </c>
      <c r="N240" s="62">
        <v>72</v>
      </c>
      <c r="O240" s="102">
        <v>2.52</v>
      </c>
      <c r="P240" s="103">
        <f t="shared" si="24"/>
        <v>46204</v>
      </c>
      <c r="Q240" s="104">
        <f t="shared" si="25"/>
        <v>233.98692810457516</v>
      </c>
      <c r="R240" s="105">
        <f t="shared" si="26"/>
        <v>0.98622589531680438</v>
      </c>
      <c r="S240" s="101">
        <f t="shared" si="27"/>
        <v>-5000</v>
      </c>
      <c r="T240" s="104">
        <f t="shared" si="28"/>
        <v>9021.6</v>
      </c>
      <c r="U240" s="62">
        <f t="shared" si="29"/>
        <v>17</v>
      </c>
      <c r="V240" s="62" t="str">
        <f t="shared" si="30"/>
        <v>$300-400K</v>
      </c>
      <c r="W240" s="62" t="str">
        <f t="shared" si="31"/>
        <v/>
      </c>
      <c r="X240" s="62" t="s">
        <v>448</v>
      </c>
    </row>
    <row r="241" spans="1:24" x14ac:dyDescent="0.35">
      <c r="A241" s="62">
        <v>10126</v>
      </c>
      <c r="B241" s="98">
        <v>46224</v>
      </c>
      <c r="C241" s="62" t="s">
        <v>74</v>
      </c>
      <c r="D241" s="62" t="s">
        <v>27</v>
      </c>
      <c r="E241" s="62">
        <v>3</v>
      </c>
      <c r="F241" s="62">
        <v>2.5</v>
      </c>
      <c r="G241" s="99">
        <v>1740</v>
      </c>
      <c r="H241" s="99">
        <v>3890</v>
      </c>
      <c r="I241" s="100">
        <v>1950</v>
      </c>
      <c r="J241" s="62">
        <v>1</v>
      </c>
      <c r="K241" s="62" t="s">
        <v>180</v>
      </c>
      <c r="L241" s="101">
        <v>270000</v>
      </c>
      <c r="M241" s="101">
        <v>274000</v>
      </c>
      <c r="N241" s="62"/>
      <c r="O241" s="102">
        <v>2.89</v>
      </c>
      <c r="P241" s="103">
        <f t="shared" si="24"/>
        <v>46204</v>
      </c>
      <c r="Q241" s="104">
        <f t="shared" si="25"/>
        <v>157.4712643678161</v>
      </c>
      <c r="R241" s="105">
        <f t="shared" si="26"/>
        <v>1.0148148148148148</v>
      </c>
      <c r="S241" s="101">
        <f t="shared" si="27"/>
        <v>4000</v>
      </c>
      <c r="T241" s="104">
        <f t="shared" si="28"/>
        <v>7918.6</v>
      </c>
      <c r="U241" s="62">
        <f t="shared" si="29"/>
        <v>76</v>
      </c>
      <c r="V241" s="62" t="str">
        <f t="shared" si="30"/>
        <v>$200-300K</v>
      </c>
      <c r="W241" s="62" t="str">
        <f t="shared" si="31"/>
        <v/>
      </c>
      <c r="X241" s="62" t="s">
        <v>476</v>
      </c>
    </row>
    <row r="242" spans="1:24" x14ac:dyDescent="0.35">
      <c r="A242" s="62">
        <v>10034</v>
      </c>
      <c r="B242" s="98">
        <v>46228</v>
      </c>
      <c r="C242" s="62" t="s">
        <v>76</v>
      </c>
      <c r="D242" s="62" t="s">
        <v>27</v>
      </c>
      <c r="E242" s="62">
        <v>4</v>
      </c>
      <c r="F242" s="62">
        <v>2.5</v>
      </c>
      <c r="G242" s="99">
        <v>1990</v>
      </c>
      <c r="H242" s="99">
        <v>7130</v>
      </c>
      <c r="I242" s="100">
        <v>1937</v>
      </c>
      <c r="J242" s="62">
        <v>2</v>
      </c>
      <c r="K242" s="62" t="s">
        <v>180</v>
      </c>
      <c r="L242" s="101">
        <v>391000</v>
      </c>
      <c r="M242" s="101">
        <v>358000</v>
      </c>
      <c r="N242" s="62">
        <v>107</v>
      </c>
      <c r="O242" s="102">
        <v>3.04</v>
      </c>
      <c r="P242" s="103">
        <f t="shared" si="24"/>
        <v>46204</v>
      </c>
      <c r="Q242" s="104">
        <f t="shared" si="25"/>
        <v>179.89949748743717</v>
      </c>
      <c r="R242" s="105">
        <f t="shared" si="26"/>
        <v>0.9156010230179028</v>
      </c>
      <c r="S242" s="101">
        <f t="shared" si="27"/>
        <v>-33000</v>
      </c>
      <c r="T242" s="104">
        <f t="shared" si="28"/>
        <v>10883.2</v>
      </c>
      <c r="U242" s="62">
        <f t="shared" si="29"/>
        <v>89</v>
      </c>
      <c r="V242" s="62" t="str">
        <f t="shared" si="30"/>
        <v>$300-400K</v>
      </c>
      <c r="W242" s="62" t="str">
        <f t="shared" si="31"/>
        <v>Long DOM</v>
      </c>
      <c r="X242" s="62" t="s">
        <v>477</v>
      </c>
    </row>
    <row r="243" spans="1:24" x14ac:dyDescent="0.35">
      <c r="A243" s="62">
        <v>10238</v>
      </c>
      <c r="B243" s="98">
        <v>46230</v>
      </c>
      <c r="C243" s="62" t="s">
        <v>73</v>
      </c>
      <c r="D243" s="62" t="s">
        <v>26</v>
      </c>
      <c r="E243" s="62">
        <v>1</v>
      </c>
      <c r="F243" s="62">
        <v>1</v>
      </c>
      <c r="G243" s="99">
        <v>1280</v>
      </c>
      <c r="H243" s="99">
        <v>0</v>
      </c>
      <c r="I243" s="100">
        <v>1962</v>
      </c>
      <c r="J243" s="62">
        <v>0</v>
      </c>
      <c r="K243" s="62" t="s">
        <v>178</v>
      </c>
      <c r="L243" s="101">
        <v>439000</v>
      </c>
      <c r="M243" s="101">
        <v>445000</v>
      </c>
      <c r="N243" s="62">
        <v>32</v>
      </c>
      <c r="O243" s="102">
        <v>2.81</v>
      </c>
      <c r="P243" s="103">
        <f t="shared" si="24"/>
        <v>46204</v>
      </c>
      <c r="Q243" s="104">
        <f t="shared" si="25"/>
        <v>347.65625</v>
      </c>
      <c r="R243" s="105">
        <f t="shared" si="26"/>
        <v>1.0136674259681093</v>
      </c>
      <c r="S243" s="101">
        <f t="shared" si="27"/>
        <v>6000</v>
      </c>
      <c r="T243" s="104">
        <f t="shared" si="28"/>
        <v>12504.5</v>
      </c>
      <c r="U243" s="62">
        <f t="shared" si="29"/>
        <v>64</v>
      </c>
      <c r="V243" s="62" t="str">
        <f t="shared" si="30"/>
        <v>$400-500K</v>
      </c>
      <c r="W243" s="62" t="str">
        <f t="shared" si="31"/>
        <v/>
      </c>
      <c r="X243" s="62"/>
    </row>
    <row r="244" spans="1:24" x14ac:dyDescent="0.35">
      <c r="A244" s="62">
        <v>10089</v>
      </c>
      <c r="B244" s="98">
        <v>46232</v>
      </c>
      <c r="C244" s="62" t="s">
        <v>75</v>
      </c>
      <c r="D244" s="62" t="s">
        <v>27</v>
      </c>
      <c r="E244" s="62">
        <v>4</v>
      </c>
      <c r="F244" s="62">
        <v>3</v>
      </c>
      <c r="G244" s="99">
        <v>2260</v>
      </c>
      <c r="H244" s="99">
        <v>6080</v>
      </c>
      <c r="I244" s="100">
        <v>1955</v>
      </c>
      <c r="J244" s="62">
        <v>0</v>
      </c>
      <c r="K244" s="62" t="s">
        <v>180</v>
      </c>
      <c r="L244" s="101">
        <v>487000</v>
      </c>
      <c r="M244" s="101">
        <v>449000</v>
      </c>
      <c r="N244" s="62">
        <v>53</v>
      </c>
      <c r="O244" s="102">
        <v>2.98</v>
      </c>
      <c r="P244" s="103">
        <f t="shared" si="24"/>
        <v>46204</v>
      </c>
      <c r="Q244" s="104">
        <f t="shared" si="25"/>
        <v>198.67256637168143</v>
      </c>
      <c r="R244" s="105">
        <f t="shared" si="26"/>
        <v>0.92197125256673507</v>
      </c>
      <c r="S244" s="101">
        <f t="shared" si="27"/>
        <v>-38000</v>
      </c>
      <c r="T244" s="104">
        <f t="shared" si="28"/>
        <v>13380.2</v>
      </c>
      <c r="U244" s="62">
        <f t="shared" si="29"/>
        <v>71</v>
      </c>
      <c r="V244" s="62" t="str">
        <f t="shared" si="30"/>
        <v>$400-500K</v>
      </c>
      <c r="W244" s="62" t="str">
        <f t="shared" si="31"/>
        <v/>
      </c>
      <c r="X244" s="62" t="s">
        <v>441</v>
      </c>
    </row>
    <row r="245" spans="1:24" x14ac:dyDescent="0.35">
      <c r="A245" s="62">
        <v>10016</v>
      </c>
      <c r="B245" s="98">
        <v>46233</v>
      </c>
      <c r="C245" s="62" t="s">
        <v>76</v>
      </c>
      <c r="D245" s="62" t="s">
        <v>27</v>
      </c>
      <c r="E245" s="62">
        <v>4</v>
      </c>
      <c r="F245" s="62">
        <v>3</v>
      </c>
      <c r="G245" s="99">
        <v>2140</v>
      </c>
      <c r="H245" s="99">
        <v>7910</v>
      </c>
      <c r="I245" s="100">
        <v>1960</v>
      </c>
      <c r="J245" s="62">
        <v>2</v>
      </c>
      <c r="K245" s="62" t="s">
        <v>179</v>
      </c>
      <c r="L245" s="101">
        <v>472000</v>
      </c>
      <c r="M245" s="101">
        <v>494000</v>
      </c>
      <c r="N245" s="62">
        <v>63</v>
      </c>
      <c r="O245" s="102">
        <v>3.3</v>
      </c>
      <c r="P245" s="103">
        <f t="shared" si="24"/>
        <v>46204</v>
      </c>
      <c r="Q245" s="104">
        <f t="shared" si="25"/>
        <v>230.84112149532712</v>
      </c>
      <c r="R245" s="105">
        <f t="shared" si="26"/>
        <v>1.0466101694915255</v>
      </c>
      <c r="S245" s="101">
        <f t="shared" si="27"/>
        <v>22000</v>
      </c>
      <c r="T245" s="104">
        <f t="shared" si="28"/>
        <v>16302</v>
      </c>
      <c r="U245" s="62">
        <f t="shared" si="29"/>
        <v>66</v>
      </c>
      <c r="V245" s="62" t="str">
        <f t="shared" si="30"/>
        <v>$400-500K</v>
      </c>
      <c r="W245" s="62" t="str">
        <f t="shared" si="31"/>
        <v/>
      </c>
      <c r="X245" s="62"/>
    </row>
    <row r="246" spans="1:24" x14ac:dyDescent="0.35">
      <c r="A246" s="62">
        <v>10070</v>
      </c>
      <c r="B246" s="98">
        <v>46234</v>
      </c>
      <c r="C246" s="62" t="s">
        <v>76</v>
      </c>
      <c r="D246" s="62" t="s">
        <v>26</v>
      </c>
      <c r="E246" s="62">
        <v>1</v>
      </c>
      <c r="F246" s="62">
        <v>2</v>
      </c>
      <c r="G246" s="99">
        <v>980</v>
      </c>
      <c r="H246" s="99">
        <v>0</v>
      </c>
      <c r="I246" s="100">
        <v>1995</v>
      </c>
      <c r="J246" s="62">
        <v>1</v>
      </c>
      <c r="K246" s="62" t="s">
        <v>179</v>
      </c>
      <c r="L246" s="101">
        <v>255000</v>
      </c>
      <c r="M246" s="101">
        <v>250000</v>
      </c>
      <c r="N246" s="62">
        <v>47</v>
      </c>
      <c r="O246" s="102">
        <v>2.99</v>
      </c>
      <c r="P246" s="103">
        <f t="shared" si="24"/>
        <v>46204</v>
      </c>
      <c r="Q246" s="104">
        <f t="shared" si="25"/>
        <v>255.10204081632654</v>
      </c>
      <c r="R246" s="105">
        <f t="shared" si="26"/>
        <v>0.98039215686274506</v>
      </c>
      <c r="S246" s="101">
        <f t="shared" si="27"/>
        <v>-5000</v>
      </c>
      <c r="T246" s="104">
        <f t="shared" si="28"/>
        <v>7475</v>
      </c>
      <c r="U246" s="62">
        <f t="shared" si="29"/>
        <v>31</v>
      </c>
      <c r="V246" s="62" t="str">
        <f t="shared" si="30"/>
        <v>$200-300K</v>
      </c>
      <c r="W246" s="62" t="str">
        <f t="shared" si="31"/>
        <v/>
      </c>
      <c r="X246" s="62" t="s">
        <v>431</v>
      </c>
    </row>
    <row r="247" spans="1:24" x14ac:dyDescent="0.35">
      <c r="A247" s="62">
        <v>10174</v>
      </c>
      <c r="B247" s="98">
        <v>46236</v>
      </c>
      <c r="C247" s="62" t="s">
        <v>182</v>
      </c>
      <c r="D247" s="62" t="s">
        <v>27</v>
      </c>
      <c r="E247" s="62">
        <v>3</v>
      </c>
      <c r="F247" s="62">
        <v>2.5</v>
      </c>
      <c r="G247" s="99">
        <v>1740</v>
      </c>
      <c r="H247" s="99">
        <v>4860</v>
      </c>
      <c r="I247" s="100">
        <v>2009</v>
      </c>
      <c r="J247" s="62">
        <v>1</v>
      </c>
      <c r="K247" s="62" t="s">
        <v>180</v>
      </c>
      <c r="L247" s="101">
        <v>298000</v>
      </c>
      <c r="M247" s="101">
        <v>301000</v>
      </c>
      <c r="N247" s="62">
        <v>97</v>
      </c>
      <c r="O247" s="102">
        <v>2.95</v>
      </c>
      <c r="P247" s="103">
        <f t="shared" si="24"/>
        <v>46235</v>
      </c>
      <c r="Q247" s="104">
        <f t="shared" si="25"/>
        <v>172.98850574712642</v>
      </c>
      <c r="R247" s="105">
        <f t="shared" si="26"/>
        <v>1.0100671140939597</v>
      </c>
      <c r="S247" s="101">
        <f t="shared" si="27"/>
        <v>3000</v>
      </c>
      <c r="T247" s="104">
        <f t="shared" si="28"/>
        <v>8879.5</v>
      </c>
      <c r="U247" s="62">
        <f t="shared" si="29"/>
        <v>17</v>
      </c>
      <c r="V247" s="62" t="str">
        <f t="shared" si="30"/>
        <v>$300-400K</v>
      </c>
      <c r="W247" s="62" t="str">
        <f t="shared" si="31"/>
        <v/>
      </c>
      <c r="X247" s="62" t="s">
        <v>456</v>
      </c>
    </row>
    <row r="248" spans="1:24" x14ac:dyDescent="0.35">
      <c r="A248" s="62">
        <v>10212</v>
      </c>
      <c r="B248" s="98">
        <v>46246</v>
      </c>
      <c r="C248" s="62" t="s">
        <v>74</v>
      </c>
      <c r="D248" s="62" t="s">
        <v>27</v>
      </c>
      <c r="E248" s="62">
        <v>4</v>
      </c>
      <c r="F248" s="62">
        <v>3.5</v>
      </c>
      <c r="G248" s="99">
        <v>1900</v>
      </c>
      <c r="H248" s="99">
        <v>4680</v>
      </c>
      <c r="I248" s="100">
        <v>1992</v>
      </c>
      <c r="J248" s="62">
        <v>2</v>
      </c>
      <c r="K248" s="62" t="s">
        <v>179</v>
      </c>
      <c r="L248" s="101">
        <v>389000</v>
      </c>
      <c r="M248" s="101">
        <v>364000</v>
      </c>
      <c r="N248" s="62">
        <v>23</v>
      </c>
      <c r="O248" s="102">
        <v>2.5099999999999998</v>
      </c>
      <c r="P248" s="103">
        <f t="shared" si="24"/>
        <v>46235</v>
      </c>
      <c r="Q248" s="104">
        <f t="shared" si="25"/>
        <v>191.57894736842104</v>
      </c>
      <c r="R248" s="105">
        <f t="shared" si="26"/>
        <v>0.93573264781491006</v>
      </c>
      <c r="S248" s="101">
        <f t="shared" si="27"/>
        <v>-25000</v>
      </c>
      <c r="T248" s="104">
        <f t="shared" si="28"/>
        <v>9136.4</v>
      </c>
      <c r="U248" s="62">
        <f t="shared" si="29"/>
        <v>34</v>
      </c>
      <c r="V248" s="62" t="str">
        <f t="shared" si="30"/>
        <v>$300-400K</v>
      </c>
      <c r="W248" s="62" t="str">
        <f t="shared" si="31"/>
        <v/>
      </c>
      <c r="X248" s="62"/>
    </row>
    <row r="249" spans="1:24" x14ac:dyDescent="0.35">
      <c r="A249" s="62">
        <v>10021</v>
      </c>
      <c r="B249" s="98">
        <v>46247</v>
      </c>
      <c r="C249" s="62" t="s">
        <v>73</v>
      </c>
      <c r="D249" s="62" t="s">
        <v>27</v>
      </c>
      <c r="E249" s="62">
        <v>5</v>
      </c>
      <c r="F249" s="62">
        <v>4</v>
      </c>
      <c r="G249" s="99">
        <v>2680</v>
      </c>
      <c r="H249" s="99">
        <v>8330</v>
      </c>
      <c r="I249" s="100">
        <v>1959</v>
      </c>
      <c r="J249" s="62">
        <v>2</v>
      </c>
      <c r="K249" s="62" t="s">
        <v>179</v>
      </c>
      <c r="L249" s="101">
        <v>884000</v>
      </c>
      <c r="M249" s="101">
        <v>843000</v>
      </c>
      <c r="N249" s="62">
        <v>45</v>
      </c>
      <c r="O249" s="102">
        <v>2.75</v>
      </c>
      <c r="P249" s="103">
        <f t="shared" si="24"/>
        <v>46235</v>
      </c>
      <c r="Q249" s="104">
        <f t="shared" si="25"/>
        <v>314.55223880597015</v>
      </c>
      <c r="R249" s="105">
        <f t="shared" si="26"/>
        <v>0.9536199095022625</v>
      </c>
      <c r="S249" s="101">
        <f t="shared" si="27"/>
        <v>-41000</v>
      </c>
      <c r="T249" s="104">
        <f t="shared" si="28"/>
        <v>23182.5</v>
      </c>
      <c r="U249" s="62">
        <f t="shared" si="29"/>
        <v>67</v>
      </c>
      <c r="V249" s="62" t="str">
        <f t="shared" si="30"/>
        <v>$800K+</v>
      </c>
      <c r="W249" s="62" t="str">
        <f t="shared" si="31"/>
        <v>High price</v>
      </c>
      <c r="X249" s="62"/>
    </row>
    <row r="250" spans="1:24" x14ac:dyDescent="0.35">
      <c r="A250" s="62">
        <v>10023</v>
      </c>
      <c r="B250" s="98">
        <v>46257</v>
      </c>
      <c r="C250" s="62" t="s">
        <v>72</v>
      </c>
      <c r="D250" s="62" t="s">
        <v>27</v>
      </c>
      <c r="E250" s="62">
        <v>3</v>
      </c>
      <c r="F250" s="62">
        <v>2.5</v>
      </c>
      <c r="G250" s="99">
        <v>1760</v>
      </c>
      <c r="H250" s="99">
        <v>5400</v>
      </c>
      <c r="I250" s="100">
        <v>2019</v>
      </c>
      <c r="J250" s="62">
        <v>3</v>
      </c>
      <c r="K250" s="62" t="s">
        <v>180</v>
      </c>
      <c r="L250" s="101">
        <v>353000</v>
      </c>
      <c r="M250" s="101">
        <v>355000</v>
      </c>
      <c r="N250" s="62">
        <v>69</v>
      </c>
      <c r="O250" s="102">
        <v>2.74</v>
      </c>
      <c r="P250" s="103">
        <f t="shared" si="24"/>
        <v>46235</v>
      </c>
      <c r="Q250" s="104">
        <f t="shared" si="25"/>
        <v>201.70454545454547</v>
      </c>
      <c r="R250" s="105">
        <f t="shared" si="26"/>
        <v>1.0056657223796035</v>
      </c>
      <c r="S250" s="101">
        <f t="shared" si="27"/>
        <v>2000</v>
      </c>
      <c r="T250" s="104">
        <f t="shared" si="28"/>
        <v>9727.0000000000018</v>
      </c>
      <c r="U250" s="62">
        <f t="shared" si="29"/>
        <v>7</v>
      </c>
      <c r="V250" s="62" t="str">
        <f t="shared" si="30"/>
        <v>$300-400K</v>
      </c>
      <c r="W250" s="62" t="str">
        <f t="shared" si="31"/>
        <v/>
      </c>
      <c r="X250" s="62" t="s">
        <v>441</v>
      </c>
    </row>
    <row r="251" spans="1:24" x14ac:dyDescent="0.35">
      <c r="A251" s="62">
        <v>10140</v>
      </c>
      <c r="B251" s="98">
        <v>46257</v>
      </c>
      <c r="C251" s="62" t="s">
        <v>75</v>
      </c>
      <c r="D251" s="62" t="s">
        <v>26</v>
      </c>
      <c r="E251" s="62">
        <v>2</v>
      </c>
      <c r="F251" s="62">
        <v>2</v>
      </c>
      <c r="G251" s="99">
        <v>1130</v>
      </c>
      <c r="H251" s="99">
        <v>0</v>
      </c>
      <c r="I251" s="100">
        <v>1974</v>
      </c>
      <c r="J251" s="62">
        <v>1</v>
      </c>
      <c r="K251" s="62" t="s">
        <v>181</v>
      </c>
      <c r="L251" s="101">
        <v>247000</v>
      </c>
      <c r="M251" s="101">
        <v>256000</v>
      </c>
      <c r="N251" s="62">
        <v>70</v>
      </c>
      <c r="O251" s="102">
        <v>2.95</v>
      </c>
      <c r="P251" s="103">
        <f t="shared" si="24"/>
        <v>46235</v>
      </c>
      <c r="Q251" s="104">
        <f t="shared" si="25"/>
        <v>226.54867256637169</v>
      </c>
      <c r="R251" s="105">
        <f t="shared" si="26"/>
        <v>1.0364372469635628</v>
      </c>
      <c r="S251" s="101">
        <f t="shared" si="27"/>
        <v>9000</v>
      </c>
      <c r="T251" s="104">
        <f t="shared" si="28"/>
        <v>7552</v>
      </c>
      <c r="U251" s="62">
        <f t="shared" si="29"/>
        <v>52</v>
      </c>
      <c r="V251" s="62" t="str">
        <f t="shared" si="30"/>
        <v>$200-300K</v>
      </c>
      <c r="W251" s="62" t="str">
        <f t="shared" si="31"/>
        <v/>
      </c>
      <c r="X251" s="62" t="s">
        <v>478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8D99AE"/>
  </sheetPr>
  <dimension ref="A1:O251"/>
  <sheetViews>
    <sheetView zoomScaleNormal="100" workbookViewId="0">
      <pane ySplit="1" topLeftCell="A2" activePane="bottomLeft" state="frozen"/>
      <selection pane="bottomLeft"/>
    </sheetView>
  </sheetViews>
  <sheetFormatPr defaultColWidth="8.6328125" defaultRowHeight="14.5" x14ac:dyDescent="0.35"/>
  <cols>
    <col min="1" max="15" width="16" customWidth="1"/>
  </cols>
  <sheetData>
    <row r="1" spans="1:15" x14ac:dyDescent="0.35">
      <c r="A1" s="106" t="s">
        <v>417</v>
      </c>
      <c r="B1" s="106" t="s">
        <v>334</v>
      </c>
      <c r="C1" s="106" t="s">
        <v>338</v>
      </c>
      <c r="D1" s="106" t="s">
        <v>345</v>
      </c>
      <c r="E1" s="106" t="s">
        <v>418</v>
      </c>
      <c r="F1" s="106" t="s">
        <v>353</v>
      </c>
      <c r="G1" s="106" t="s">
        <v>357</v>
      </c>
      <c r="H1" s="106" t="s">
        <v>360</v>
      </c>
      <c r="I1" s="106" t="s">
        <v>369</v>
      </c>
      <c r="J1" s="106" t="s">
        <v>367</v>
      </c>
      <c r="K1" s="106" t="s">
        <v>349</v>
      </c>
      <c r="L1" s="106" t="s">
        <v>419</v>
      </c>
      <c r="M1" s="106" t="s">
        <v>420</v>
      </c>
      <c r="N1" s="106" t="s">
        <v>372</v>
      </c>
      <c r="O1" s="106" t="s">
        <v>374</v>
      </c>
    </row>
    <row r="2" spans="1:15" x14ac:dyDescent="0.35">
      <c r="A2" s="62">
        <v>10144</v>
      </c>
      <c r="B2" s="62" t="s">
        <v>479</v>
      </c>
      <c r="C2" s="62" t="s">
        <v>74</v>
      </c>
      <c r="D2" s="62" t="s">
        <v>28</v>
      </c>
      <c r="E2" s="62">
        <v>3</v>
      </c>
      <c r="F2" s="62">
        <v>3</v>
      </c>
      <c r="G2" s="62">
        <v>1500</v>
      </c>
      <c r="H2" s="62">
        <v>1400</v>
      </c>
      <c r="I2" s="62">
        <v>2004</v>
      </c>
      <c r="J2" s="62">
        <v>3</v>
      </c>
      <c r="K2" s="62" t="s">
        <v>180</v>
      </c>
      <c r="L2" s="62">
        <v>297000</v>
      </c>
      <c r="M2" s="62">
        <v>290000</v>
      </c>
      <c r="N2" s="62">
        <v>82</v>
      </c>
      <c r="O2" s="62">
        <v>2.57</v>
      </c>
    </row>
    <row r="3" spans="1:15" x14ac:dyDescent="0.35">
      <c r="A3" s="62">
        <v>10067</v>
      </c>
      <c r="B3" s="62" t="s">
        <v>480</v>
      </c>
      <c r="C3" s="62" t="s">
        <v>74</v>
      </c>
      <c r="D3" s="62" t="s">
        <v>27</v>
      </c>
      <c r="E3" s="62">
        <v>4</v>
      </c>
      <c r="F3" s="62">
        <v>2.5</v>
      </c>
      <c r="G3" s="62">
        <v>2370</v>
      </c>
      <c r="H3" s="62">
        <v>7660</v>
      </c>
      <c r="I3" s="62">
        <v>1996</v>
      </c>
      <c r="J3" s="62">
        <v>3</v>
      </c>
      <c r="K3" s="62" t="s">
        <v>180</v>
      </c>
      <c r="L3" s="62">
        <v>446000</v>
      </c>
      <c r="M3" s="62">
        <v>451000</v>
      </c>
      <c r="N3" s="62">
        <v>53</v>
      </c>
      <c r="O3" s="62">
        <v>2.71</v>
      </c>
    </row>
    <row r="4" spans="1:15" x14ac:dyDescent="0.35">
      <c r="A4" s="62">
        <v>10028</v>
      </c>
      <c r="B4" s="62" t="s">
        <v>481</v>
      </c>
      <c r="C4" s="62" t="s">
        <v>75</v>
      </c>
      <c r="D4" s="62" t="s">
        <v>27</v>
      </c>
      <c r="E4" s="62">
        <v>3</v>
      </c>
      <c r="F4" s="62">
        <v>2.5</v>
      </c>
      <c r="G4" s="62">
        <v>1510</v>
      </c>
      <c r="H4" s="62">
        <v>4520</v>
      </c>
      <c r="I4" s="62">
        <v>2006</v>
      </c>
      <c r="J4" s="62">
        <v>2</v>
      </c>
      <c r="K4" s="62" t="s">
        <v>179</v>
      </c>
      <c r="L4" s="62">
        <v>404000</v>
      </c>
      <c r="M4" s="62">
        <v>384000</v>
      </c>
      <c r="N4" s="62">
        <v>40</v>
      </c>
      <c r="O4" s="62">
        <v>2.79</v>
      </c>
    </row>
    <row r="5" spans="1:15" x14ac:dyDescent="0.35">
      <c r="A5" s="62">
        <v>10082</v>
      </c>
      <c r="B5" s="62" t="s">
        <v>481</v>
      </c>
      <c r="C5" s="62" t="s">
        <v>76</v>
      </c>
      <c r="D5" s="62" t="s">
        <v>404</v>
      </c>
      <c r="E5" s="62">
        <v>3</v>
      </c>
      <c r="F5" s="62">
        <v>2.5</v>
      </c>
      <c r="G5" s="62">
        <v>1880</v>
      </c>
      <c r="H5" s="62">
        <v>5670</v>
      </c>
      <c r="I5" s="62">
        <v>1978</v>
      </c>
      <c r="J5" s="62">
        <v>1</v>
      </c>
      <c r="K5" s="62" t="s">
        <v>414</v>
      </c>
      <c r="L5" s="62">
        <v>434000</v>
      </c>
      <c r="M5" s="62">
        <v>442000</v>
      </c>
      <c r="N5" s="62">
        <v>45</v>
      </c>
      <c r="O5" s="62"/>
    </row>
    <row r="6" spans="1:15" x14ac:dyDescent="0.35">
      <c r="A6" s="62">
        <v>10043</v>
      </c>
      <c r="B6" s="62" t="s">
        <v>482</v>
      </c>
      <c r="C6" s="62" t="s">
        <v>388</v>
      </c>
      <c r="D6" s="62" t="s">
        <v>26</v>
      </c>
      <c r="E6" s="62">
        <v>1</v>
      </c>
      <c r="F6" s="62">
        <v>1</v>
      </c>
      <c r="G6" s="62">
        <v>1110</v>
      </c>
      <c r="H6" s="62">
        <v>0</v>
      </c>
      <c r="I6" s="62">
        <v>1962</v>
      </c>
      <c r="J6" s="62">
        <v>0</v>
      </c>
      <c r="K6" s="62" t="s">
        <v>178</v>
      </c>
      <c r="L6" s="62">
        <v>364000</v>
      </c>
      <c r="M6" s="62">
        <v>355000</v>
      </c>
      <c r="N6" s="62">
        <v>81</v>
      </c>
      <c r="O6" s="62">
        <v>3.02</v>
      </c>
    </row>
    <row r="7" spans="1:15" x14ac:dyDescent="0.35">
      <c r="A7" s="62">
        <v>10095</v>
      </c>
      <c r="B7" s="62" t="s">
        <v>483</v>
      </c>
      <c r="C7" s="62" t="s">
        <v>76</v>
      </c>
      <c r="D7" s="62" t="s">
        <v>28</v>
      </c>
      <c r="E7" s="62">
        <v>3</v>
      </c>
      <c r="F7" s="62">
        <v>2.5</v>
      </c>
      <c r="G7" s="62">
        <v>1510</v>
      </c>
      <c r="H7" s="62">
        <v>1240</v>
      </c>
      <c r="I7" s="62">
        <v>2022</v>
      </c>
      <c r="J7" s="62">
        <v>2</v>
      </c>
      <c r="K7" s="62" t="s">
        <v>179</v>
      </c>
      <c r="L7" s="62">
        <v>373000</v>
      </c>
      <c r="M7" s="62">
        <v>358000</v>
      </c>
      <c r="N7" s="62">
        <v>61</v>
      </c>
      <c r="O7" s="62">
        <v>2.5099999999999998</v>
      </c>
    </row>
    <row r="8" spans="1:15" x14ac:dyDescent="0.35">
      <c r="A8" s="62">
        <v>10041</v>
      </c>
      <c r="B8" s="62" t="s">
        <v>484</v>
      </c>
      <c r="C8" s="62" t="s">
        <v>76</v>
      </c>
      <c r="D8" s="62" t="s">
        <v>401</v>
      </c>
      <c r="E8" s="62">
        <v>1</v>
      </c>
      <c r="F8" s="62">
        <v>1</v>
      </c>
      <c r="G8" s="62">
        <v>780</v>
      </c>
      <c r="H8" s="62">
        <v>0</v>
      </c>
      <c r="I8" s="62">
        <v>1982</v>
      </c>
      <c r="J8" s="62">
        <v>1</v>
      </c>
      <c r="K8" s="62" t="s">
        <v>414</v>
      </c>
      <c r="L8" s="62">
        <v>178000</v>
      </c>
      <c r="M8" s="62">
        <v>180000</v>
      </c>
      <c r="N8" s="62">
        <v>25</v>
      </c>
      <c r="O8" s="62"/>
    </row>
    <row r="9" spans="1:15" x14ac:dyDescent="0.35">
      <c r="A9" s="62">
        <v>10178</v>
      </c>
      <c r="B9" s="62" t="s">
        <v>484</v>
      </c>
      <c r="C9" s="62" t="s">
        <v>72</v>
      </c>
      <c r="D9" s="62" t="s">
        <v>26</v>
      </c>
      <c r="E9" s="62">
        <v>3</v>
      </c>
      <c r="F9" s="62">
        <v>2.5</v>
      </c>
      <c r="G9" s="62">
        <v>1910</v>
      </c>
      <c r="H9" s="62">
        <v>0</v>
      </c>
      <c r="I9" s="62">
        <v>1959</v>
      </c>
      <c r="J9" s="62">
        <v>1</v>
      </c>
      <c r="K9" s="62" t="s">
        <v>179</v>
      </c>
      <c r="L9" s="62">
        <v>242000</v>
      </c>
      <c r="M9" s="62">
        <v>239000</v>
      </c>
      <c r="N9" s="62">
        <v>35</v>
      </c>
      <c r="O9" s="62">
        <v>3.04</v>
      </c>
    </row>
    <row r="10" spans="1:15" x14ac:dyDescent="0.35">
      <c r="A10" s="62">
        <v>10142</v>
      </c>
      <c r="B10" s="62" t="s">
        <v>485</v>
      </c>
      <c r="C10" s="62" t="s">
        <v>74</v>
      </c>
      <c r="D10" s="62" t="s">
        <v>27</v>
      </c>
      <c r="E10" s="62">
        <v>4</v>
      </c>
      <c r="F10" s="62">
        <v>3.5</v>
      </c>
      <c r="G10" s="62">
        <v>2360</v>
      </c>
      <c r="H10" s="62">
        <v>5700</v>
      </c>
      <c r="I10" s="62">
        <v>2008</v>
      </c>
      <c r="J10" s="62">
        <v>2</v>
      </c>
      <c r="K10" s="62" t="s">
        <v>413</v>
      </c>
      <c r="L10" s="62">
        <v>489000</v>
      </c>
      <c r="M10" s="62">
        <v>442000</v>
      </c>
      <c r="N10" s="62">
        <v>60</v>
      </c>
      <c r="O10" s="62"/>
    </row>
    <row r="11" spans="1:15" x14ac:dyDescent="0.35">
      <c r="A11" s="62">
        <v>10027</v>
      </c>
      <c r="B11" s="62" t="s">
        <v>486</v>
      </c>
      <c r="C11" s="62" t="s">
        <v>76</v>
      </c>
      <c r="D11" s="62" t="s">
        <v>27</v>
      </c>
      <c r="E11" s="62">
        <v>3</v>
      </c>
      <c r="F11" s="62">
        <v>2</v>
      </c>
      <c r="G11" s="62">
        <v>1890</v>
      </c>
      <c r="H11" s="62">
        <v>6400</v>
      </c>
      <c r="I11" s="62">
        <v>2002</v>
      </c>
      <c r="J11" s="62">
        <v>1</v>
      </c>
      <c r="K11" s="62" t="s">
        <v>415</v>
      </c>
      <c r="L11" s="62">
        <v>406000</v>
      </c>
      <c r="M11" s="62">
        <v>411000</v>
      </c>
      <c r="N11" s="62">
        <v>80</v>
      </c>
      <c r="O11" s="62">
        <v>2.95</v>
      </c>
    </row>
    <row r="12" spans="1:15" x14ac:dyDescent="0.35">
      <c r="A12" s="62">
        <v>10193</v>
      </c>
      <c r="B12" s="62" t="s">
        <v>487</v>
      </c>
      <c r="C12" s="62" t="s">
        <v>75</v>
      </c>
      <c r="D12" s="62" t="s">
        <v>28</v>
      </c>
      <c r="E12" s="62">
        <v>4</v>
      </c>
      <c r="F12" s="62">
        <v>3.5</v>
      </c>
      <c r="G12" s="62">
        <v>2260</v>
      </c>
      <c r="H12" s="62">
        <v>1850</v>
      </c>
      <c r="I12" s="62">
        <v>1941</v>
      </c>
      <c r="J12" s="62">
        <v>2</v>
      </c>
      <c r="K12" s="62" t="s">
        <v>181</v>
      </c>
      <c r="L12" s="62">
        <v>395000</v>
      </c>
      <c r="M12" s="62">
        <v>389000</v>
      </c>
      <c r="N12" s="62">
        <v>76</v>
      </c>
      <c r="O12" s="62">
        <v>2.5</v>
      </c>
    </row>
    <row r="13" spans="1:15" x14ac:dyDescent="0.35">
      <c r="A13" s="62">
        <v>10014</v>
      </c>
      <c r="B13" s="62" t="s">
        <v>487</v>
      </c>
      <c r="C13" s="62" t="s">
        <v>72</v>
      </c>
      <c r="D13" s="62" t="s">
        <v>27</v>
      </c>
      <c r="E13" s="62">
        <v>5</v>
      </c>
      <c r="F13" s="62">
        <v>5</v>
      </c>
      <c r="G13" s="62">
        <v>2220</v>
      </c>
      <c r="H13" s="62">
        <v>8020</v>
      </c>
      <c r="I13" s="62"/>
      <c r="J13" s="62">
        <v>2</v>
      </c>
      <c r="K13" s="62" t="s">
        <v>179</v>
      </c>
      <c r="L13" s="62">
        <v>435000</v>
      </c>
      <c r="M13" s="62">
        <v>425000</v>
      </c>
      <c r="N13" s="62">
        <v>50</v>
      </c>
      <c r="O13" s="62">
        <v>2.7</v>
      </c>
    </row>
    <row r="14" spans="1:15" x14ac:dyDescent="0.35">
      <c r="A14" s="62">
        <v>10149</v>
      </c>
      <c r="B14" s="62" t="s">
        <v>487</v>
      </c>
      <c r="C14" s="62" t="s">
        <v>76</v>
      </c>
      <c r="D14" s="62" t="s">
        <v>27</v>
      </c>
      <c r="E14" s="62">
        <v>4</v>
      </c>
      <c r="F14" s="62">
        <v>3.5</v>
      </c>
      <c r="G14" s="62"/>
      <c r="H14" s="62">
        <v>8600</v>
      </c>
      <c r="I14" s="62">
        <v>2009</v>
      </c>
      <c r="J14" s="62"/>
      <c r="K14" s="62"/>
      <c r="L14" s="62">
        <v>453000</v>
      </c>
      <c r="M14" s="62">
        <v>450000</v>
      </c>
      <c r="N14" s="62">
        <v>65</v>
      </c>
      <c r="O14" s="62">
        <v>2.75</v>
      </c>
    </row>
    <row r="15" spans="1:15" x14ac:dyDescent="0.35">
      <c r="A15" s="62">
        <v>10083</v>
      </c>
      <c r="B15" s="62" t="s">
        <v>488</v>
      </c>
      <c r="C15" s="62" t="s">
        <v>73</v>
      </c>
      <c r="D15" s="62" t="s">
        <v>26</v>
      </c>
      <c r="E15" s="62">
        <v>2</v>
      </c>
      <c r="F15" s="62">
        <v>2</v>
      </c>
      <c r="G15" s="62">
        <v>1350</v>
      </c>
      <c r="H15" s="62">
        <v>0</v>
      </c>
      <c r="I15" s="62">
        <v>1961</v>
      </c>
      <c r="J15" s="62">
        <v>0</v>
      </c>
      <c r="K15" s="62" t="s">
        <v>179</v>
      </c>
      <c r="L15" s="62">
        <v>371000</v>
      </c>
      <c r="M15" s="62">
        <v>359000</v>
      </c>
      <c r="N15" s="62">
        <v>43</v>
      </c>
      <c r="O15" s="62">
        <v>2.79</v>
      </c>
    </row>
    <row r="16" spans="1:15" x14ac:dyDescent="0.35">
      <c r="A16" s="62">
        <v>10105</v>
      </c>
      <c r="B16" s="62" t="s">
        <v>489</v>
      </c>
      <c r="C16" s="62" t="s">
        <v>73</v>
      </c>
      <c r="D16" s="62" t="s">
        <v>27</v>
      </c>
      <c r="E16" s="62">
        <v>4</v>
      </c>
      <c r="F16" s="62">
        <v>3.5</v>
      </c>
      <c r="G16" s="62">
        <v>2010</v>
      </c>
      <c r="H16" s="62">
        <v>5170</v>
      </c>
      <c r="I16" s="62">
        <v>1980</v>
      </c>
      <c r="J16" s="62">
        <v>1</v>
      </c>
      <c r="K16" s="62" t="s">
        <v>180</v>
      </c>
      <c r="L16" s="62">
        <v>549000</v>
      </c>
      <c r="M16" s="62">
        <v>542000</v>
      </c>
      <c r="N16" s="62">
        <v>45</v>
      </c>
      <c r="O16" s="62">
        <v>2.97</v>
      </c>
    </row>
    <row r="17" spans="1:15" x14ac:dyDescent="0.35">
      <c r="A17" s="62">
        <v>10019</v>
      </c>
      <c r="B17" s="62" t="s">
        <v>490</v>
      </c>
      <c r="C17" s="62" t="s">
        <v>72</v>
      </c>
      <c r="D17" s="62" t="s">
        <v>27</v>
      </c>
      <c r="E17" s="62">
        <v>3</v>
      </c>
      <c r="F17" s="62">
        <v>2.5</v>
      </c>
      <c r="G17" s="62">
        <v>1670</v>
      </c>
      <c r="H17" s="62">
        <v>4630</v>
      </c>
      <c r="I17" s="62">
        <v>2001</v>
      </c>
      <c r="J17" s="62">
        <v>2</v>
      </c>
      <c r="K17" s="62" t="s">
        <v>413</v>
      </c>
      <c r="L17" s="62">
        <v>302000</v>
      </c>
      <c r="M17" s="62">
        <v>298000</v>
      </c>
      <c r="N17" s="62">
        <v>69</v>
      </c>
      <c r="O17" s="62">
        <v>2.5499999999999998</v>
      </c>
    </row>
    <row r="18" spans="1:15" x14ac:dyDescent="0.35">
      <c r="A18" s="62">
        <v>10057</v>
      </c>
      <c r="B18" s="62" t="s">
        <v>491</v>
      </c>
      <c r="C18" s="62" t="s">
        <v>396</v>
      </c>
      <c r="D18" s="62" t="s">
        <v>27</v>
      </c>
      <c r="E18" s="62">
        <v>4</v>
      </c>
      <c r="F18" s="62">
        <v>2.5</v>
      </c>
      <c r="G18" s="62">
        <v>2050</v>
      </c>
      <c r="H18" s="62">
        <v>5760</v>
      </c>
      <c r="I18" s="62">
        <v>2005</v>
      </c>
      <c r="J18" s="62">
        <v>2</v>
      </c>
      <c r="K18" s="62" t="s">
        <v>413</v>
      </c>
      <c r="L18" s="62">
        <v>462000</v>
      </c>
      <c r="M18" s="62">
        <v>441000</v>
      </c>
      <c r="N18" s="62">
        <v>39</v>
      </c>
      <c r="O18" s="62">
        <v>3.02</v>
      </c>
    </row>
    <row r="19" spans="1:15" x14ac:dyDescent="0.35">
      <c r="A19" s="62">
        <v>10229</v>
      </c>
      <c r="B19" s="62" t="s">
        <v>492</v>
      </c>
      <c r="C19" s="62" t="s">
        <v>74</v>
      </c>
      <c r="D19" s="62" t="s">
        <v>28</v>
      </c>
      <c r="E19" s="62">
        <v>4</v>
      </c>
      <c r="F19" s="62">
        <v>3</v>
      </c>
      <c r="G19" s="62">
        <v>2150</v>
      </c>
      <c r="H19" s="62">
        <v>1740</v>
      </c>
      <c r="I19" s="62"/>
      <c r="J19" s="62">
        <v>1</v>
      </c>
      <c r="K19" s="62" t="s">
        <v>179</v>
      </c>
      <c r="L19" s="62">
        <v>350000</v>
      </c>
      <c r="M19" s="62">
        <v>342000</v>
      </c>
      <c r="N19" s="62">
        <v>40</v>
      </c>
      <c r="O19" s="62"/>
    </row>
    <row r="20" spans="1:15" x14ac:dyDescent="0.35">
      <c r="A20" s="62">
        <v>10110</v>
      </c>
      <c r="B20" s="62" t="s">
        <v>493</v>
      </c>
      <c r="C20" s="62" t="s">
        <v>72</v>
      </c>
      <c r="D20" s="62" t="s">
        <v>27</v>
      </c>
      <c r="E20" s="62">
        <v>3</v>
      </c>
      <c r="F20" s="62">
        <v>2.5</v>
      </c>
      <c r="G20" s="62">
        <v>1470</v>
      </c>
      <c r="H20" s="62">
        <v>3280</v>
      </c>
      <c r="I20" s="62">
        <v>1972</v>
      </c>
      <c r="J20" s="62">
        <v>1</v>
      </c>
      <c r="K20" s="62" t="s">
        <v>179</v>
      </c>
      <c r="L20" s="62">
        <v>273000</v>
      </c>
      <c r="M20" s="62">
        <v>264000</v>
      </c>
      <c r="N20" s="62">
        <v>66</v>
      </c>
      <c r="O20" s="62">
        <v>3.05</v>
      </c>
    </row>
    <row r="21" spans="1:15" x14ac:dyDescent="0.35">
      <c r="A21" s="62">
        <v>10131</v>
      </c>
      <c r="B21" s="62" t="s">
        <v>494</v>
      </c>
      <c r="C21" s="62" t="s">
        <v>75</v>
      </c>
      <c r="D21" s="62" t="s">
        <v>27</v>
      </c>
      <c r="E21" s="62">
        <v>3</v>
      </c>
      <c r="F21" s="62">
        <v>2</v>
      </c>
      <c r="G21" s="62">
        <v>1500</v>
      </c>
      <c r="H21" s="62">
        <v>5130</v>
      </c>
      <c r="I21" s="62">
        <v>1986</v>
      </c>
      <c r="J21" s="62">
        <v>1</v>
      </c>
      <c r="K21" s="62" t="s">
        <v>180</v>
      </c>
      <c r="L21" s="62">
        <v>393000</v>
      </c>
      <c r="M21" s="62">
        <v>403000</v>
      </c>
      <c r="N21" s="62">
        <v>60</v>
      </c>
      <c r="O21" s="62">
        <v>2.4500000000000002</v>
      </c>
    </row>
    <row r="22" spans="1:15" x14ac:dyDescent="0.35">
      <c r="A22" s="62">
        <v>10124</v>
      </c>
      <c r="B22" s="62" t="s">
        <v>495</v>
      </c>
      <c r="C22" s="62" t="s">
        <v>76</v>
      </c>
      <c r="D22" s="62" t="s">
        <v>27</v>
      </c>
      <c r="E22" s="62">
        <v>4</v>
      </c>
      <c r="F22" s="62">
        <v>3.5</v>
      </c>
      <c r="G22" s="62">
        <v>2050</v>
      </c>
      <c r="H22" s="62">
        <v>4930</v>
      </c>
      <c r="I22" s="62">
        <v>1974</v>
      </c>
      <c r="J22" s="62">
        <v>1</v>
      </c>
      <c r="K22" s="62" t="s">
        <v>179</v>
      </c>
      <c r="L22" s="62">
        <v>487000</v>
      </c>
      <c r="M22" s="62">
        <v>452000</v>
      </c>
      <c r="N22" s="62">
        <v>43</v>
      </c>
      <c r="O22" s="62">
        <v>3.02</v>
      </c>
    </row>
    <row r="23" spans="1:15" x14ac:dyDescent="0.35">
      <c r="A23" s="62">
        <v>10081</v>
      </c>
      <c r="B23" s="62" t="s">
        <v>496</v>
      </c>
      <c r="C23" s="62" t="s">
        <v>74</v>
      </c>
      <c r="D23" s="62" t="s">
        <v>28</v>
      </c>
      <c r="E23" s="62">
        <v>2</v>
      </c>
      <c r="F23" s="62">
        <v>1</v>
      </c>
      <c r="G23" s="62"/>
      <c r="H23" s="62">
        <v>2300</v>
      </c>
      <c r="I23" s="62">
        <v>1988</v>
      </c>
      <c r="J23" s="62">
        <v>1</v>
      </c>
      <c r="K23" s="62" t="s">
        <v>410</v>
      </c>
      <c r="L23" s="62">
        <v>250000</v>
      </c>
      <c r="M23" s="62">
        <v>239000</v>
      </c>
      <c r="N23" s="62">
        <v>40</v>
      </c>
      <c r="O23" s="62">
        <v>3.08</v>
      </c>
    </row>
    <row r="24" spans="1:15" x14ac:dyDescent="0.35">
      <c r="A24" s="62">
        <v>10100</v>
      </c>
      <c r="B24" s="62" t="s">
        <v>496</v>
      </c>
      <c r="C24" s="62" t="s">
        <v>72</v>
      </c>
      <c r="D24" s="62" t="s">
        <v>27</v>
      </c>
      <c r="E24" s="62">
        <v>3</v>
      </c>
      <c r="F24" s="62">
        <v>3</v>
      </c>
      <c r="G24" s="62">
        <v>1720</v>
      </c>
      <c r="H24" s="62">
        <v>6180</v>
      </c>
      <c r="I24" s="62">
        <v>1941</v>
      </c>
      <c r="J24" s="62">
        <v>1</v>
      </c>
      <c r="K24" s="62" t="s">
        <v>178</v>
      </c>
      <c r="L24" s="62">
        <v>337000</v>
      </c>
      <c r="M24" s="62">
        <v>332000</v>
      </c>
      <c r="N24" s="62">
        <v>80</v>
      </c>
      <c r="O24" s="62">
        <v>2.68</v>
      </c>
    </row>
    <row r="25" spans="1:15" x14ac:dyDescent="0.35">
      <c r="A25" s="62">
        <v>10061</v>
      </c>
      <c r="B25" s="62" t="s">
        <v>497</v>
      </c>
      <c r="C25" s="62" t="s">
        <v>74</v>
      </c>
      <c r="D25" s="62" t="s">
        <v>27</v>
      </c>
      <c r="E25" s="62">
        <v>3</v>
      </c>
      <c r="F25" s="62">
        <v>2.5</v>
      </c>
      <c r="G25" s="62">
        <v>1520</v>
      </c>
      <c r="H25" s="62">
        <v>6600</v>
      </c>
      <c r="I25" s="62">
        <v>1984</v>
      </c>
      <c r="J25" s="62">
        <v>0</v>
      </c>
      <c r="K25" s="62" t="s">
        <v>178</v>
      </c>
      <c r="L25" s="62">
        <v>350000</v>
      </c>
      <c r="M25" s="62">
        <v>334000</v>
      </c>
      <c r="N25" s="62">
        <v>61</v>
      </c>
      <c r="O25" s="62">
        <v>3.03</v>
      </c>
    </row>
    <row r="26" spans="1:15" x14ac:dyDescent="0.35">
      <c r="A26" s="62">
        <v>10205</v>
      </c>
      <c r="B26" s="62" t="s">
        <v>498</v>
      </c>
      <c r="C26" s="62" t="s">
        <v>75</v>
      </c>
      <c r="D26" s="62" t="s">
        <v>27</v>
      </c>
      <c r="E26" s="62">
        <v>3</v>
      </c>
      <c r="F26" s="62">
        <v>3</v>
      </c>
      <c r="G26" s="62">
        <v>1940</v>
      </c>
      <c r="H26" s="62">
        <v>4730</v>
      </c>
      <c r="I26" s="62">
        <v>2002</v>
      </c>
      <c r="J26" s="62">
        <v>1</v>
      </c>
      <c r="K26" s="62" t="s">
        <v>179</v>
      </c>
      <c r="L26" s="62">
        <v>479000</v>
      </c>
      <c r="M26" s="62">
        <v>451000</v>
      </c>
      <c r="N26" s="62">
        <v>62</v>
      </c>
      <c r="O26" s="62">
        <v>2.71</v>
      </c>
    </row>
    <row r="27" spans="1:15" x14ac:dyDescent="0.35">
      <c r="A27" s="62">
        <v>10143</v>
      </c>
      <c r="B27" s="62" t="s">
        <v>499</v>
      </c>
      <c r="C27" s="62" t="s">
        <v>72</v>
      </c>
      <c r="D27" s="62" t="s">
        <v>27</v>
      </c>
      <c r="E27" s="62">
        <v>3</v>
      </c>
      <c r="F27" s="62">
        <v>2.5</v>
      </c>
      <c r="G27" s="62">
        <v>1950</v>
      </c>
      <c r="H27" s="62">
        <v>8750</v>
      </c>
      <c r="I27" s="62">
        <v>2013</v>
      </c>
      <c r="J27" s="62">
        <v>2</v>
      </c>
      <c r="K27" s="62" t="s">
        <v>179</v>
      </c>
      <c r="L27" s="62">
        <v>383000</v>
      </c>
      <c r="M27" s="62">
        <v>377000</v>
      </c>
      <c r="N27" s="62">
        <v>54</v>
      </c>
      <c r="O27" s="62">
        <v>3.11</v>
      </c>
    </row>
    <row r="28" spans="1:15" x14ac:dyDescent="0.35">
      <c r="A28" s="62">
        <v>10052</v>
      </c>
      <c r="B28" s="62" t="s">
        <v>500</v>
      </c>
      <c r="C28" s="62" t="s">
        <v>75</v>
      </c>
      <c r="D28" s="62" t="s">
        <v>27</v>
      </c>
      <c r="E28" s="62">
        <v>4</v>
      </c>
      <c r="F28" s="62">
        <v>3</v>
      </c>
      <c r="G28" s="62">
        <v>2260</v>
      </c>
      <c r="H28" s="62">
        <v>10060</v>
      </c>
      <c r="I28" s="62">
        <v>1940</v>
      </c>
      <c r="J28" s="62">
        <v>0</v>
      </c>
      <c r="K28" s="62" t="s">
        <v>179</v>
      </c>
      <c r="L28" s="62">
        <v>531000</v>
      </c>
      <c r="M28" s="62">
        <v>512000</v>
      </c>
      <c r="N28" s="62">
        <v>20</v>
      </c>
      <c r="O28" s="62">
        <v>3.07</v>
      </c>
    </row>
    <row r="29" spans="1:15" x14ac:dyDescent="0.35">
      <c r="A29" s="62">
        <v>10120</v>
      </c>
      <c r="B29" s="62" t="s">
        <v>501</v>
      </c>
      <c r="C29" s="62" t="s">
        <v>389</v>
      </c>
      <c r="D29" s="62" t="s">
        <v>26</v>
      </c>
      <c r="E29" s="62">
        <v>1</v>
      </c>
      <c r="F29" s="62">
        <v>1</v>
      </c>
      <c r="G29" s="62">
        <v>940</v>
      </c>
      <c r="H29" s="62">
        <v>0</v>
      </c>
      <c r="I29" s="62">
        <v>1997</v>
      </c>
      <c r="J29" s="62">
        <v>0</v>
      </c>
      <c r="K29" s="62" t="s">
        <v>179</v>
      </c>
      <c r="L29" s="62">
        <v>185000</v>
      </c>
      <c r="M29" s="62">
        <v>177000</v>
      </c>
      <c r="N29" s="62">
        <v>41</v>
      </c>
      <c r="O29" s="62">
        <v>3.07</v>
      </c>
    </row>
    <row r="30" spans="1:15" x14ac:dyDescent="0.35">
      <c r="A30" s="62">
        <v>10135</v>
      </c>
      <c r="B30" s="62" t="s">
        <v>502</v>
      </c>
      <c r="C30" s="62" t="s">
        <v>74</v>
      </c>
      <c r="D30" s="62" t="s">
        <v>27</v>
      </c>
      <c r="E30" s="62">
        <v>5</v>
      </c>
      <c r="F30" s="62">
        <v>3</v>
      </c>
      <c r="G30" s="62">
        <v>2660</v>
      </c>
      <c r="H30" s="62">
        <v>11020</v>
      </c>
      <c r="I30" s="62">
        <v>1964</v>
      </c>
      <c r="J30" s="62">
        <v>1</v>
      </c>
      <c r="K30" s="62" t="s">
        <v>179</v>
      </c>
      <c r="L30" s="62">
        <v>501000</v>
      </c>
      <c r="M30" s="62">
        <v>478000</v>
      </c>
      <c r="N30" s="62"/>
      <c r="O30" s="62">
        <v>3.05</v>
      </c>
    </row>
    <row r="31" spans="1:15" x14ac:dyDescent="0.35">
      <c r="A31" s="62">
        <v>10202</v>
      </c>
      <c r="B31" s="62" t="s">
        <v>503</v>
      </c>
      <c r="C31" s="62" t="s">
        <v>72</v>
      </c>
      <c r="D31" s="62" t="s">
        <v>26</v>
      </c>
      <c r="E31" s="62">
        <v>1</v>
      </c>
      <c r="F31" s="62">
        <v>1.5</v>
      </c>
      <c r="G31" s="62">
        <v>690</v>
      </c>
      <c r="H31" s="62"/>
      <c r="I31" s="62">
        <v>2018</v>
      </c>
      <c r="J31" s="62">
        <v>0</v>
      </c>
      <c r="K31" s="62" t="s">
        <v>179</v>
      </c>
      <c r="L31" s="62">
        <v>131000</v>
      </c>
      <c r="M31" s="62">
        <v>131000</v>
      </c>
      <c r="N31" s="62">
        <v>37</v>
      </c>
      <c r="O31" s="62">
        <v>2.74</v>
      </c>
    </row>
    <row r="32" spans="1:15" x14ac:dyDescent="0.35">
      <c r="A32" s="62">
        <v>10106</v>
      </c>
      <c r="B32" s="62" t="s">
        <v>504</v>
      </c>
      <c r="C32" s="62" t="s">
        <v>73</v>
      </c>
      <c r="D32" s="62" t="s">
        <v>406</v>
      </c>
      <c r="E32" s="62">
        <v>2</v>
      </c>
      <c r="F32" s="62">
        <v>1.5</v>
      </c>
      <c r="G32" s="62">
        <v>1200</v>
      </c>
      <c r="H32" s="62">
        <v>4070</v>
      </c>
      <c r="I32" s="62">
        <v>2018</v>
      </c>
      <c r="J32" s="62">
        <v>2</v>
      </c>
      <c r="K32" s="62" t="s">
        <v>179</v>
      </c>
      <c r="L32" s="62">
        <v>407000</v>
      </c>
      <c r="M32" s="62">
        <v>419000</v>
      </c>
      <c r="N32" s="62">
        <v>38</v>
      </c>
      <c r="O32" s="62">
        <v>2.52</v>
      </c>
    </row>
    <row r="33" spans="1:15" x14ac:dyDescent="0.35">
      <c r="A33" s="62">
        <v>10003</v>
      </c>
      <c r="B33" s="62" t="s">
        <v>505</v>
      </c>
      <c r="C33" s="62" t="s">
        <v>72</v>
      </c>
      <c r="D33" s="62" t="s">
        <v>27</v>
      </c>
      <c r="E33" s="62">
        <v>3</v>
      </c>
      <c r="F33" s="62">
        <v>3</v>
      </c>
      <c r="G33" s="62">
        <v>1590</v>
      </c>
      <c r="H33" s="62">
        <v>4020</v>
      </c>
      <c r="I33" s="62">
        <v>2021</v>
      </c>
      <c r="J33" s="62">
        <v>1</v>
      </c>
      <c r="K33" s="62" t="s">
        <v>178</v>
      </c>
      <c r="L33" s="62">
        <v>350000</v>
      </c>
      <c r="M33" s="62">
        <v>352000</v>
      </c>
      <c r="N33" s="62">
        <v>41</v>
      </c>
      <c r="O33" s="62">
        <v>2.54</v>
      </c>
    </row>
    <row r="34" spans="1:15" x14ac:dyDescent="0.35">
      <c r="A34" s="62">
        <v>10210</v>
      </c>
      <c r="B34" s="62" t="s">
        <v>506</v>
      </c>
      <c r="C34" s="62" t="s">
        <v>74</v>
      </c>
      <c r="D34" s="62" t="s">
        <v>28</v>
      </c>
      <c r="E34" s="62">
        <v>3</v>
      </c>
      <c r="F34" s="62">
        <v>2</v>
      </c>
      <c r="G34" s="62">
        <v>1620</v>
      </c>
      <c r="H34" s="62">
        <v>1550</v>
      </c>
      <c r="I34" s="62">
        <v>2016</v>
      </c>
      <c r="J34" s="62">
        <v>1</v>
      </c>
      <c r="K34" s="62" t="s">
        <v>178</v>
      </c>
      <c r="L34" s="62">
        <v>343000</v>
      </c>
      <c r="M34" s="62">
        <v>333000</v>
      </c>
      <c r="N34" s="62">
        <v>37</v>
      </c>
      <c r="O34" s="62">
        <v>3.04</v>
      </c>
    </row>
    <row r="35" spans="1:15" x14ac:dyDescent="0.35">
      <c r="A35" s="62">
        <v>10104</v>
      </c>
      <c r="B35" s="62" t="s">
        <v>506</v>
      </c>
      <c r="C35" s="62" t="s">
        <v>72</v>
      </c>
      <c r="D35" s="62" t="s">
        <v>27</v>
      </c>
      <c r="E35" s="62">
        <v>3</v>
      </c>
      <c r="F35" s="62">
        <v>2.5</v>
      </c>
      <c r="G35" s="62">
        <v>1550</v>
      </c>
      <c r="H35" s="62">
        <v>4630</v>
      </c>
      <c r="I35" s="62"/>
      <c r="J35" s="62">
        <v>2</v>
      </c>
      <c r="K35" s="62" t="s">
        <v>180</v>
      </c>
      <c r="L35" s="62">
        <v>262000</v>
      </c>
      <c r="M35" s="62">
        <v>247000</v>
      </c>
      <c r="N35" s="62">
        <v>100</v>
      </c>
      <c r="O35" s="62">
        <v>3.02</v>
      </c>
    </row>
    <row r="36" spans="1:15" x14ac:dyDescent="0.35">
      <c r="A36" s="62">
        <v>10186</v>
      </c>
      <c r="B36" s="62" t="s">
        <v>507</v>
      </c>
      <c r="C36" s="62" t="s">
        <v>74</v>
      </c>
      <c r="D36" s="62" t="s">
        <v>27</v>
      </c>
      <c r="E36" s="62">
        <v>5</v>
      </c>
      <c r="F36" s="62">
        <v>3.5</v>
      </c>
      <c r="G36" s="62"/>
      <c r="H36" s="62">
        <v>6430</v>
      </c>
      <c r="I36" s="62">
        <v>2022</v>
      </c>
      <c r="J36" s="62">
        <v>2</v>
      </c>
      <c r="K36" s="62" t="s">
        <v>181</v>
      </c>
      <c r="L36" s="62">
        <v>476000</v>
      </c>
      <c r="M36" s="62">
        <v>443000</v>
      </c>
      <c r="N36" s="62">
        <v>87</v>
      </c>
      <c r="O36" s="62">
        <v>3.03</v>
      </c>
    </row>
    <row r="37" spans="1:15" x14ac:dyDescent="0.35">
      <c r="A37" s="62">
        <v>10132</v>
      </c>
      <c r="B37" s="62" t="s">
        <v>508</v>
      </c>
      <c r="C37" s="62" t="s">
        <v>72</v>
      </c>
      <c r="D37" s="62" t="s">
        <v>26</v>
      </c>
      <c r="E37" s="62">
        <v>2</v>
      </c>
      <c r="F37" s="62">
        <v>2</v>
      </c>
      <c r="G37" s="62">
        <v>1070</v>
      </c>
      <c r="H37" s="62">
        <v>0</v>
      </c>
      <c r="I37" s="62">
        <v>1989</v>
      </c>
      <c r="J37" s="62">
        <v>0</v>
      </c>
      <c r="K37" s="62" t="s">
        <v>411</v>
      </c>
      <c r="L37" s="62">
        <v>196000</v>
      </c>
      <c r="M37" s="62">
        <v>190000</v>
      </c>
      <c r="N37" s="62">
        <v>45</v>
      </c>
      <c r="O37" s="62">
        <v>2.97</v>
      </c>
    </row>
    <row r="38" spans="1:15" x14ac:dyDescent="0.35">
      <c r="A38" s="62">
        <v>10015</v>
      </c>
      <c r="B38" s="62" t="s">
        <v>508</v>
      </c>
      <c r="C38" s="62" t="s">
        <v>396</v>
      </c>
      <c r="D38" s="62" t="s">
        <v>26</v>
      </c>
      <c r="E38" s="62">
        <v>3</v>
      </c>
      <c r="F38" s="62">
        <v>3</v>
      </c>
      <c r="G38" s="62"/>
      <c r="H38" s="62">
        <v>0</v>
      </c>
      <c r="I38" s="62">
        <v>1966</v>
      </c>
      <c r="J38" s="62">
        <v>1</v>
      </c>
      <c r="K38" s="62" t="s">
        <v>179</v>
      </c>
      <c r="L38" s="62">
        <v>358000</v>
      </c>
      <c r="M38" s="62">
        <v>334000</v>
      </c>
      <c r="N38" s="62">
        <v>43</v>
      </c>
      <c r="O38" s="62">
        <v>3</v>
      </c>
    </row>
    <row r="39" spans="1:15" x14ac:dyDescent="0.35">
      <c r="A39" s="62">
        <v>10062</v>
      </c>
      <c r="B39" s="62" t="s">
        <v>509</v>
      </c>
      <c r="C39" s="62" t="s">
        <v>75</v>
      </c>
      <c r="D39" s="62" t="s">
        <v>27</v>
      </c>
      <c r="E39" s="62">
        <v>6</v>
      </c>
      <c r="F39" s="62">
        <v>5.5</v>
      </c>
      <c r="G39" s="62">
        <v>6400</v>
      </c>
      <c r="H39" s="62">
        <v>41000</v>
      </c>
      <c r="I39" s="62">
        <v>2019</v>
      </c>
      <c r="J39" s="62">
        <v>4</v>
      </c>
      <c r="K39" s="62" t="s">
        <v>178</v>
      </c>
      <c r="L39" s="62">
        <v>3450000</v>
      </c>
      <c r="M39" s="62">
        <v>3310000</v>
      </c>
      <c r="N39" s="62">
        <v>61</v>
      </c>
      <c r="O39" s="62">
        <v>2.4900000000000002</v>
      </c>
    </row>
    <row r="40" spans="1:15" x14ac:dyDescent="0.35">
      <c r="A40" s="62">
        <v>10237</v>
      </c>
      <c r="B40" s="62" t="s">
        <v>510</v>
      </c>
      <c r="C40" s="62" t="s">
        <v>76</v>
      </c>
      <c r="D40" s="62" t="s">
        <v>27</v>
      </c>
      <c r="E40" s="62">
        <v>5</v>
      </c>
      <c r="F40" s="62">
        <v>3.5</v>
      </c>
      <c r="G40" s="62">
        <v>2520</v>
      </c>
      <c r="H40" s="62"/>
      <c r="I40" s="62">
        <v>2015</v>
      </c>
      <c r="J40" s="62">
        <v>2</v>
      </c>
      <c r="K40" s="62" t="s">
        <v>180</v>
      </c>
      <c r="L40" s="62">
        <v>476000</v>
      </c>
      <c r="M40" s="62">
        <v>463000</v>
      </c>
      <c r="N40" s="62">
        <v>54</v>
      </c>
      <c r="O40" s="62">
        <v>3.04</v>
      </c>
    </row>
    <row r="41" spans="1:15" x14ac:dyDescent="0.35">
      <c r="A41" s="62">
        <v>10031</v>
      </c>
      <c r="B41" s="62" t="s">
        <v>510</v>
      </c>
      <c r="C41" s="62" t="s">
        <v>73</v>
      </c>
      <c r="D41" s="62" t="s">
        <v>27</v>
      </c>
      <c r="E41" s="62">
        <v>3</v>
      </c>
      <c r="F41" s="62">
        <v>2.5</v>
      </c>
      <c r="G41" s="62">
        <v>1640</v>
      </c>
      <c r="H41" s="62">
        <v>6560</v>
      </c>
      <c r="I41" s="62">
        <v>1998</v>
      </c>
      <c r="J41" s="62">
        <v>2</v>
      </c>
      <c r="K41" s="62" t="s">
        <v>178</v>
      </c>
      <c r="L41" s="62">
        <v>535000</v>
      </c>
      <c r="M41" s="62">
        <v>489000</v>
      </c>
      <c r="N41" s="62">
        <v>41</v>
      </c>
      <c r="O41" s="62">
        <v>2.99</v>
      </c>
    </row>
    <row r="42" spans="1:15" x14ac:dyDescent="0.35">
      <c r="A42" s="62">
        <v>10099</v>
      </c>
      <c r="B42" s="62" t="s">
        <v>511</v>
      </c>
      <c r="C42" s="62" t="s">
        <v>394</v>
      </c>
      <c r="D42" s="62" t="s">
        <v>27</v>
      </c>
      <c r="E42" s="62">
        <v>3</v>
      </c>
      <c r="F42" s="62">
        <v>2.5</v>
      </c>
      <c r="G42" s="62">
        <v>1880</v>
      </c>
      <c r="H42" s="62">
        <v>8190</v>
      </c>
      <c r="I42" s="62">
        <v>2010</v>
      </c>
      <c r="J42" s="62">
        <v>2</v>
      </c>
      <c r="K42" s="62"/>
      <c r="L42" s="62">
        <v>539000</v>
      </c>
      <c r="M42" s="62">
        <v>513000</v>
      </c>
      <c r="N42" s="62">
        <v>93</v>
      </c>
      <c r="O42" s="62">
        <v>3.25</v>
      </c>
    </row>
    <row r="43" spans="1:15" x14ac:dyDescent="0.35">
      <c r="A43" s="62">
        <v>10235</v>
      </c>
      <c r="B43" s="62" t="s">
        <v>512</v>
      </c>
      <c r="C43" s="62" t="s">
        <v>72</v>
      </c>
      <c r="D43" s="62" t="s">
        <v>27</v>
      </c>
      <c r="E43" s="62">
        <v>4</v>
      </c>
      <c r="F43" s="62">
        <v>3</v>
      </c>
      <c r="G43" s="62">
        <v>1960</v>
      </c>
      <c r="H43" s="62">
        <v>6730</v>
      </c>
      <c r="I43" s="62">
        <v>1998</v>
      </c>
      <c r="J43" s="62">
        <v>2</v>
      </c>
      <c r="K43" s="62" t="s">
        <v>179</v>
      </c>
      <c r="L43" s="62">
        <v>335000</v>
      </c>
      <c r="M43" s="62">
        <v>320000</v>
      </c>
      <c r="N43" s="62">
        <v>64</v>
      </c>
      <c r="O43" s="62">
        <v>3.04</v>
      </c>
    </row>
    <row r="44" spans="1:15" x14ac:dyDescent="0.35">
      <c r="A44" s="62">
        <v>10116</v>
      </c>
      <c r="B44" s="62" t="s">
        <v>513</v>
      </c>
      <c r="C44" s="62" t="s">
        <v>72</v>
      </c>
      <c r="D44" s="62" t="s">
        <v>27</v>
      </c>
      <c r="E44" s="62">
        <v>4</v>
      </c>
      <c r="F44" s="62">
        <v>3.5</v>
      </c>
      <c r="G44" s="62">
        <v>1960</v>
      </c>
      <c r="H44" s="62">
        <v>5550</v>
      </c>
      <c r="I44" s="62">
        <v>2017</v>
      </c>
      <c r="J44" s="62">
        <v>2</v>
      </c>
      <c r="K44" s="62" t="s">
        <v>179</v>
      </c>
      <c r="L44" s="62">
        <v>408000</v>
      </c>
      <c r="M44" s="62">
        <v>392000</v>
      </c>
      <c r="N44" s="62">
        <v>49</v>
      </c>
      <c r="O44" s="62">
        <v>3.18</v>
      </c>
    </row>
    <row r="45" spans="1:15" x14ac:dyDescent="0.35">
      <c r="A45" s="62">
        <v>10156</v>
      </c>
      <c r="B45" s="62" t="s">
        <v>514</v>
      </c>
      <c r="C45" s="62" t="s">
        <v>74</v>
      </c>
      <c r="D45" s="62" t="s">
        <v>400</v>
      </c>
      <c r="E45" s="62">
        <v>2</v>
      </c>
      <c r="F45" s="62">
        <v>2</v>
      </c>
      <c r="G45" s="62">
        <v>1400</v>
      </c>
      <c r="H45" s="62">
        <v>0</v>
      </c>
      <c r="I45" s="62">
        <v>2015</v>
      </c>
      <c r="J45" s="62">
        <v>1</v>
      </c>
      <c r="K45" s="62" t="s">
        <v>180</v>
      </c>
      <c r="L45" s="62">
        <v>270000</v>
      </c>
      <c r="M45" s="62">
        <v>264000</v>
      </c>
      <c r="N45" s="62"/>
      <c r="O45" s="62">
        <v>2.95</v>
      </c>
    </row>
    <row r="46" spans="1:15" x14ac:dyDescent="0.35">
      <c r="A46" s="62">
        <v>10113</v>
      </c>
      <c r="B46" s="62" t="s">
        <v>515</v>
      </c>
      <c r="C46" s="62" t="s">
        <v>76</v>
      </c>
      <c r="D46" s="62" t="s">
        <v>27</v>
      </c>
      <c r="E46" s="62">
        <v>4</v>
      </c>
      <c r="F46" s="62">
        <v>4</v>
      </c>
      <c r="G46" s="62">
        <v>2230</v>
      </c>
      <c r="H46" s="62">
        <v>5110</v>
      </c>
      <c r="I46" s="62">
        <v>2016</v>
      </c>
      <c r="J46" s="62">
        <v>2</v>
      </c>
      <c r="K46" s="62" t="s">
        <v>412</v>
      </c>
      <c r="L46" s="62">
        <v>479000</v>
      </c>
      <c r="M46" s="62">
        <v>487000</v>
      </c>
      <c r="N46" s="62">
        <v>44</v>
      </c>
      <c r="O46" s="62">
        <v>3.33</v>
      </c>
    </row>
    <row r="47" spans="1:15" x14ac:dyDescent="0.35">
      <c r="A47" s="62">
        <v>10218</v>
      </c>
      <c r="B47" s="62" t="s">
        <v>516</v>
      </c>
      <c r="C47" s="62" t="s">
        <v>75</v>
      </c>
      <c r="D47" s="62" t="s">
        <v>26</v>
      </c>
      <c r="E47" s="62">
        <v>1</v>
      </c>
      <c r="F47" s="62">
        <v>1</v>
      </c>
      <c r="G47" s="62">
        <v>940</v>
      </c>
      <c r="H47" s="62">
        <v>0</v>
      </c>
      <c r="I47" s="62">
        <v>1980</v>
      </c>
      <c r="J47" s="62">
        <v>0</v>
      </c>
      <c r="K47" s="62" t="s">
        <v>411</v>
      </c>
      <c r="L47" s="62">
        <v>253000</v>
      </c>
      <c r="M47" s="62">
        <v>244000</v>
      </c>
      <c r="N47" s="62">
        <v>26</v>
      </c>
      <c r="O47" s="62">
        <v>3.32</v>
      </c>
    </row>
    <row r="48" spans="1:15" x14ac:dyDescent="0.35">
      <c r="A48" s="62">
        <v>10039</v>
      </c>
      <c r="B48" s="62" t="s">
        <v>517</v>
      </c>
      <c r="C48" s="62" t="s">
        <v>76</v>
      </c>
      <c r="D48" s="62" t="s">
        <v>27</v>
      </c>
      <c r="E48" s="62">
        <v>3</v>
      </c>
      <c r="F48" s="62">
        <v>2.5</v>
      </c>
      <c r="G48" s="62">
        <v>1860</v>
      </c>
      <c r="H48" s="62">
        <v>8070</v>
      </c>
      <c r="I48" s="62">
        <v>1970</v>
      </c>
      <c r="J48" s="62">
        <v>1</v>
      </c>
      <c r="K48" s="62" t="s">
        <v>180</v>
      </c>
      <c r="L48" s="62">
        <v>379000</v>
      </c>
      <c r="M48" s="62">
        <v>370000</v>
      </c>
      <c r="N48" s="62">
        <v>50</v>
      </c>
      <c r="O48" s="62">
        <v>3.1</v>
      </c>
    </row>
    <row r="49" spans="1:15" x14ac:dyDescent="0.35">
      <c r="A49" s="62">
        <v>10018</v>
      </c>
      <c r="B49" s="62" t="s">
        <v>517</v>
      </c>
      <c r="C49" s="62" t="s">
        <v>75</v>
      </c>
      <c r="D49" s="62" t="s">
        <v>406</v>
      </c>
      <c r="E49" s="62">
        <v>5</v>
      </c>
      <c r="F49" s="62">
        <v>3.5</v>
      </c>
      <c r="G49" s="62">
        <v>2350</v>
      </c>
      <c r="H49" s="62">
        <v>5240</v>
      </c>
      <c r="I49" s="62">
        <v>1981</v>
      </c>
      <c r="J49" s="62">
        <v>1</v>
      </c>
      <c r="K49" s="62"/>
      <c r="L49" s="62">
        <v>555000</v>
      </c>
      <c r="M49" s="62">
        <v>548000</v>
      </c>
      <c r="N49" s="62">
        <v>69</v>
      </c>
      <c r="O49" s="62">
        <v>3.01</v>
      </c>
    </row>
    <row r="50" spans="1:15" x14ac:dyDescent="0.35">
      <c r="A50" s="62">
        <v>10060</v>
      </c>
      <c r="B50" s="62" t="s">
        <v>518</v>
      </c>
      <c r="C50" s="62" t="s">
        <v>75</v>
      </c>
      <c r="D50" s="62" t="s">
        <v>27</v>
      </c>
      <c r="E50" s="62">
        <v>5</v>
      </c>
      <c r="F50" s="62">
        <v>5.5</v>
      </c>
      <c r="G50" s="62">
        <v>2270</v>
      </c>
      <c r="H50" s="62">
        <v>7210</v>
      </c>
      <c r="I50" s="62">
        <v>2000</v>
      </c>
      <c r="J50" s="62">
        <v>2</v>
      </c>
      <c r="K50" s="62" t="s">
        <v>178</v>
      </c>
      <c r="L50" s="62">
        <v>674000</v>
      </c>
      <c r="M50" s="62">
        <v>697000</v>
      </c>
      <c r="N50" s="62">
        <v>32</v>
      </c>
      <c r="O50" s="62">
        <v>2.75</v>
      </c>
    </row>
    <row r="51" spans="1:15" x14ac:dyDescent="0.35">
      <c r="A51" s="62">
        <v>10065</v>
      </c>
      <c r="B51" s="62" t="s">
        <v>519</v>
      </c>
      <c r="C51" s="62" t="s">
        <v>74</v>
      </c>
      <c r="D51" s="62" t="s">
        <v>404</v>
      </c>
      <c r="E51" s="62">
        <v>2</v>
      </c>
      <c r="F51" s="62">
        <v>2.5</v>
      </c>
      <c r="G51" s="62">
        <v>1240</v>
      </c>
      <c r="H51" s="62">
        <v>4170</v>
      </c>
      <c r="I51" s="62">
        <v>2024</v>
      </c>
      <c r="J51" s="62">
        <v>2</v>
      </c>
      <c r="K51" s="62" t="s">
        <v>412</v>
      </c>
      <c r="L51" s="62">
        <v>333000</v>
      </c>
      <c r="M51" s="62">
        <v>315000</v>
      </c>
      <c r="N51" s="62">
        <v>56</v>
      </c>
      <c r="O51" s="62"/>
    </row>
    <row r="52" spans="1:15" x14ac:dyDescent="0.35">
      <c r="A52" s="62">
        <v>10199</v>
      </c>
      <c r="B52" s="62" t="s">
        <v>519</v>
      </c>
      <c r="C52" s="62" t="s">
        <v>75</v>
      </c>
      <c r="D52" s="62" t="s">
        <v>27</v>
      </c>
      <c r="E52" s="62">
        <v>4</v>
      </c>
      <c r="F52" s="62">
        <v>3</v>
      </c>
      <c r="G52" s="62">
        <v>2300</v>
      </c>
      <c r="H52" s="62">
        <v>6040</v>
      </c>
      <c r="I52" s="62">
        <v>2013</v>
      </c>
      <c r="J52" s="62"/>
      <c r="K52" s="62" t="s">
        <v>179</v>
      </c>
      <c r="L52" s="62">
        <v>643000</v>
      </c>
      <c r="M52" s="62">
        <v>636000</v>
      </c>
      <c r="N52" s="62">
        <v>59</v>
      </c>
      <c r="O52" s="62">
        <v>2.72</v>
      </c>
    </row>
    <row r="53" spans="1:15" x14ac:dyDescent="0.35">
      <c r="A53" s="62">
        <v>10194</v>
      </c>
      <c r="B53" s="62" t="s">
        <v>520</v>
      </c>
      <c r="C53" s="62" t="s">
        <v>72</v>
      </c>
      <c r="D53" s="62" t="s">
        <v>27</v>
      </c>
      <c r="E53" s="62">
        <v>2</v>
      </c>
      <c r="F53" s="62">
        <v>1.5</v>
      </c>
      <c r="G53" s="62">
        <v>1240</v>
      </c>
      <c r="H53" s="62">
        <v>3470</v>
      </c>
      <c r="I53" s="62">
        <v>1983</v>
      </c>
      <c r="J53" s="62">
        <v>1</v>
      </c>
      <c r="K53" s="62" t="s">
        <v>181</v>
      </c>
      <c r="L53" s="62">
        <v>204000</v>
      </c>
      <c r="M53" s="62">
        <v>201000</v>
      </c>
      <c r="N53" s="62">
        <v>69</v>
      </c>
      <c r="O53" s="62">
        <v>2.74</v>
      </c>
    </row>
    <row r="54" spans="1:15" x14ac:dyDescent="0.35">
      <c r="A54" s="62">
        <v>10182</v>
      </c>
      <c r="B54" s="62" t="s">
        <v>521</v>
      </c>
      <c r="C54" s="62" t="s">
        <v>72</v>
      </c>
      <c r="D54" s="62" t="s">
        <v>28</v>
      </c>
      <c r="E54" s="62">
        <v>2</v>
      </c>
      <c r="F54" s="62">
        <v>1.5</v>
      </c>
      <c r="G54" s="62">
        <v>1400</v>
      </c>
      <c r="H54" s="62">
        <v>2140</v>
      </c>
      <c r="I54" s="62">
        <v>1969</v>
      </c>
      <c r="J54" s="62">
        <v>1</v>
      </c>
      <c r="K54" s="62"/>
      <c r="L54" s="62">
        <v>216000</v>
      </c>
      <c r="M54" s="62">
        <v>214000</v>
      </c>
      <c r="N54" s="62">
        <v>45</v>
      </c>
      <c r="O54" s="62">
        <v>2.71</v>
      </c>
    </row>
    <row r="55" spans="1:15" x14ac:dyDescent="0.35">
      <c r="A55" s="62">
        <v>10088</v>
      </c>
      <c r="B55" s="62" t="s">
        <v>522</v>
      </c>
      <c r="C55" s="62" t="s">
        <v>76</v>
      </c>
      <c r="D55" s="62" t="s">
        <v>28</v>
      </c>
      <c r="E55" s="62">
        <v>3</v>
      </c>
      <c r="F55" s="62">
        <v>2.5</v>
      </c>
      <c r="G55" s="62">
        <v>1600</v>
      </c>
      <c r="H55" s="62">
        <v>2360</v>
      </c>
      <c r="I55" s="62">
        <v>2003</v>
      </c>
      <c r="J55" s="62"/>
      <c r="K55" s="62" t="s">
        <v>178</v>
      </c>
      <c r="L55" s="62">
        <v>380000</v>
      </c>
      <c r="M55" s="62">
        <v>382000</v>
      </c>
      <c r="N55" s="62">
        <v>48</v>
      </c>
      <c r="O55" s="62">
        <v>3.18</v>
      </c>
    </row>
    <row r="56" spans="1:15" x14ac:dyDescent="0.35">
      <c r="A56" s="62">
        <v>10214</v>
      </c>
      <c r="B56" s="62" t="s">
        <v>523</v>
      </c>
      <c r="C56" s="62" t="s">
        <v>73</v>
      </c>
      <c r="D56" s="62" t="s">
        <v>27</v>
      </c>
      <c r="E56" s="62">
        <v>3</v>
      </c>
      <c r="F56" s="62">
        <v>3</v>
      </c>
      <c r="G56" s="62">
        <v>1820</v>
      </c>
      <c r="H56" s="62">
        <v>7970</v>
      </c>
      <c r="I56" s="62">
        <v>1937</v>
      </c>
      <c r="J56" s="62">
        <v>1</v>
      </c>
      <c r="K56" s="62" t="s">
        <v>411</v>
      </c>
      <c r="L56" s="62">
        <v>609000</v>
      </c>
      <c r="M56" s="62">
        <v>599000</v>
      </c>
      <c r="N56" s="62">
        <v>24</v>
      </c>
      <c r="O56" s="62">
        <v>2.5499999999999998</v>
      </c>
    </row>
    <row r="57" spans="1:15" x14ac:dyDescent="0.35">
      <c r="A57" s="62">
        <v>10093</v>
      </c>
      <c r="B57" s="62" t="s">
        <v>523</v>
      </c>
      <c r="C57" s="62" t="s">
        <v>76</v>
      </c>
      <c r="D57" s="62" t="s">
        <v>28</v>
      </c>
      <c r="E57" s="62">
        <v>2</v>
      </c>
      <c r="F57" s="62">
        <v>1.5</v>
      </c>
      <c r="G57" s="62">
        <v>1210</v>
      </c>
      <c r="H57" s="62">
        <v>2540</v>
      </c>
      <c r="I57" s="62">
        <v>1985</v>
      </c>
      <c r="J57" s="62">
        <v>1</v>
      </c>
      <c r="K57" s="62" t="s">
        <v>178</v>
      </c>
      <c r="L57" s="62">
        <v>285000</v>
      </c>
      <c r="M57" s="62">
        <v>280000</v>
      </c>
      <c r="N57" s="62">
        <v>56</v>
      </c>
      <c r="O57" s="62">
        <v>3.02</v>
      </c>
    </row>
    <row r="58" spans="1:15" x14ac:dyDescent="0.35">
      <c r="A58" s="62">
        <v>10094</v>
      </c>
      <c r="B58" s="62" t="s">
        <v>524</v>
      </c>
      <c r="C58" s="62" t="s">
        <v>76</v>
      </c>
      <c r="D58" s="62" t="s">
        <v>404</v>
      </c>
      <c r="E58" s="62">
        <v>4</v>
      </c>
      <c r="F58" s="62">
        <v>3</v>
      </c>
      <c r="G58" s="62">
        <v>2110</v>
      </c>
      <c r="H58" s="62">
        <v>5240</v>
      </c>
      <c r="I58" s="62">
        <v>2021</v>
      </c>
      <c r="J58" s="62">
        <v>2</v>
      </c>
      <c r="K58" s="62" t="s">
        <v>178</v>
      </c>
      <c r="L58" s="62">
        <v>585000</v>
      </c>
      <c r="M58" s="62">
        <v>590000</v>
      </c>
      <c r="N58" s="62">
        <v>61</v>
      </c>
      <c r="O58" s="62">
        <v>2.57</v>
      </c>
    </row>
    <row r="59" spans="1:15" x14ac:dyDescent="0.35">
      <c r="A59" s="62">
        <v>10008</v>
      </c>
      <c r="B59" s="62" t="s">
        <v>525</v>
      </c>
      <c r="C59" s="62" t="s">
        <v>73</v>
      </c>
      <c r="D59" s="62" t="s">
        <v>27</v>
      </c>
      <c r="E59" s="62">
        <v>4</v>
      </c>
      <c r="F59" s="62">
        <v>3</v>
      </c>
      <c r="G59" s="62">
        <v>1940</v>
      </c>
      <c r="H59" s="62">
        <v>4890</v>
      </c>
      <c r="I59" s="62">
        <v>1955</v>
      </c>
      <c r="J59" s="62">
        <v>0</v>
      </c>
      <c r="K59" s="62" t="s">
        <v>178</v>
      </c>
      <c r="L59" s="62">
        <v>682000</v>
      </c>
      <c r="M59" s="62">
        <v>654000</v>
      </c>
      <c r="N59" s="62">
        <v>66</v>
      </c>
      <c r="O59" s="62">
        <v>2.96</v>
      </c>
    </row>
    <row r="60" spans="1:15" x14ac:dyDescent="0.35">
      <c r="A60" s="62">
        <v>10098</v>
      </c>
      <c r="B60" s="62" t="s">
        <v>526</v>
      </c>
      <c r="C60" s="62" t="s">
        <v>394</v>
      </c>
      <c r="D60" s="62" t="s">
        <v>27</v>
      </c>
      <c r="E60" s="62">
        <v>3</v>
      </c>
      <c r="F60" s="62">
        <v>2.5</v>
      </c>
      <c r="G60" s="62">
        <v>1870</v>
      </c>
      <c r="H60" s="62">
        <v>7580</v>
      </c>
      <c r="I60" s="62">
        <v>1989</v>
      </c>
      <c r="J60" s="62">
        <v>0</v>
      </c>
      <c r="K60" s="62" t="s">
        <v>179</v>
      </c>
      <c r="L60" s="62">
        <v>516000</v>
      </c>
      <c r="M60" s="62">
        <v>496000</v>
      </c>
      <c r="N60" s="62">
        <v>51</v>
      </c>
      <c r="O60" s="62">
        <v>3</v>
      </c>
    </row>
    <row r="61" spans="1:15" x14ac:dyDescent="0.35">
      <c r="A61" s="62">
        <v>10216</v>
      </c>
      <c r="B61" s="62" t="s">
        <v>526</v>
      </c>
      <c r="C61" s="62" t="s">
        <v>73</v>
      </c>
      <c r="D61" s="62" t="s">
        <v>26</v>
      </c>
      <c r="E61" s="62">
        <v>2</v>
      </c>
      <c r="F61" s="62">
        <v>1</v>
      </c>
      <c r="G61" s="62">
        <v>1040</v>
      </c>
      <c r="H61" s="62"/>
      <c r="I61" s="62">
        <v>1993</v>
      </c>
      <c r="J61" s="62">
        <v>0</v>
      </c>
      <c r="K61" s="62" t="s">
        <v>179</v>
      </c>
      <c r="L61" s="62">
        <v>334000</v>
      </c>
      <c r="M61" s="62">
        <v>319000</v>
      </c>
      <c r="N61" s="62">
        <v>62</v>
      </c>
      <c r="O61" s="62">
        <v>2.71</v>
      </c>
    </row>
    <row r="62" spans="1:15" x14ac:dyDescent="0.35">
      <c r="A62" s="62">
        <v>10236</v>
      </c>
      <c r="B62" s="62" t="s">
        <v>527</v>
      </c>
      <c r="C62" s="62" t="s">
        <v>73</v>
      </c>
      <c r="D62" s="62" t="s">
        <v>27</v>
      </c>
      <c r="E62" s="62">
        <v>2</v>
      </c>
      <c r="F62" s="62">
        <v>1</v>
      </c>
      <c r="G62" s="62">
        <v>1380</v>
      </c>
      <c r="H62" s="62">
        <v>3980</v>
      </c>
      <c r="I62" s="62">
        <v>1951</v>
      </c>
      <c r="J62" s="62">
        <v>1</v>
      </c>
      <c r="K62" s="62" t="s">
        <v>180</v>
      </c>
      <c r="L62" s="62">
        <v>365000</v>
      </c>
      <c r="M62" s="62">
        <v>373000</v>
      </c>
      <c r="N62" s="62">
        <v>62</v>
      </c>
      <c r="O62" s="62">
        <v>3.21</v>
      </c>
    </row>
    <row r="63" spans="1:15" x14ac:dyDescent="0.35">
      <c r="A63" s="62">
        <v>10211</v>
      </c>
      <c r="B63" s="62" t="s">
        <v>528</v>
      </c>
      <c r="C63" s="62" t="s">
        <v>73</v>
      </c>
      <c r="D63" s="62" t="s">
        <v>27</v>
      </c>
      <c r="E63" s="62">
        <v>4</v>
      </c>
      <c r="F63" s="62">
        <v>2.5</v>
      </c>
      <c r="G63" s="62">
        <v>2150</v>
      </c>
      <c r="H63" s="62">
        <v>5160</v>
      </c>
      <c r="I63" s="62">
        <v>1968</v>
      </c>
      <c r="J63" s="62">
        <v>2</v>
      </c>
      <c r="K63" s="62" t="s">
        <v>178</v>
      </c>
      <c r="L63" s="62">
        <v>620000</v>
      </c>
      <c r="M63" s="62">
        <v>596000</v>
      </c>
      <c r="N63" s="62">
        <v>61</v>
      </c>
      <c r="O63" s="62">
        <v>3.05</v>
      </c>
    </row>
    <row r="64" spans="1:15" x14ac:dyDescent="0.35">
      <c r="A64" s="62">
        <v>10056</v>
      </c>
      <c r="B64" s="62" t="s">
        <v>528</v>
      </c>
      <c r="C64" s="62" t="s">
        <v>73</v>
      </c>
      <c r="D64" s="62" t="s">
        <v>26</v>
      </c>
      <c r="E64" s="62">
        <v>1</v>
      </c>
      <c r="F64" s="62">
        <v>1</v>
      </c>
      <c r="G64" s="62">
        <v>920</v>
      </c>
      <c r="H64" s="62">
        <v>0</v>
      </c>
      <c r="I64" s="62">
        <v>2001</v>
      </c>
      <c r="J64" s="62">
        <v>0</v>
      </c>
      <c r="K64" s="62" t="s">
        <v>179</v>
      </c>
      <c r="L64" s="62">
        <v>313000</v>
      </c>
      <c r="M64" s="62">
        <v>294000</v>
      </c>
      <c r="N64" s="62">
        <v>62</v>
      </c>
      <c r="O64" s="62">
        <v>3.1</v>
      </c>
    </row>
    <row r="65" spans="1:15" x14ac:dyDescent="0.35">
      <c r="A65" s="62">
        <v>10128</v>
      </c>
      <c r="B65" s="62" t="s">
        <v>529</v>
      </c>
      <c r="C65" s="62" t="s">
        <v>75</v>
      </c>
      <c r="D65" s="62" t="s">
        <v>406</v>
      </c>
      <c r="E65" s="62">
        <v>4</v>
      </c>
      <c r="F65" s="62">
        <v>3</v>
      </c>
      <c r="G65" s="62">
        <v>2330</v>
      </c>
      <c r="H65" s="62">
        <v>10440</v>
      </c>
      <c r="I65" s="62">
        <v>2018</v>
      </c>
      <c r="J65" s="62">
        <v>1</v>
      </c>
      <c r="K65" s="62" t="s">
        <v>179</v>
      </c>
      <c r="L65" s="62">
        <v>615000</v>
      </c>
      <c r="M65" s="62">
        <v>608000</v>
      </c>
      <c r="N65" s="62">
        <v>38</v>
      </c>
      <c r="O65" s="62">
        <v>3.18</v>
      </c>
    </row>
    <row r="66" spans="1:15" x14ac:dyDescent="0.35">
      <c r="A66" s="62">
        <v>10134</v>
      </c>
      <c r="B66" s="62" t="s">
        <v>530</v>
      </c>
      <c r="C66" s="62" t="s">
        <v>76</v>
      </c>
      <c r="D66" s="62" t="s">
        <v>27</v>
      </c>
      <c r="E66" s="62">
        <v>5</v>
      </c>
      <c r="F66" s="62"/>
      <c r="G66" s="62">
        <v>2480</v>
      </c>
      <c r="H66" s="62">
        <v>9820</v>
      </c>
      <c r="I66" s="62">
        <v>2014</v>
      </c>
      <c r="J66" s="62">
        <v>2</v>
      </c>
      <c r="K66" s="62" t="s">
        <v>178</v>
      </c>
      <c r="L66" s="62">
        <v>591000</v>
      </c>
      <c r="M66" s="62">
        <v>596000</v>
      </c>
      <c r="N66" s="62">
        <v>48</v>
      </c>
      <c r="O66" s="62">
        <v>2.95</v>
      </c>
    </row>
    <row r="67" spans="1:15" x14ac:dyDescent="0.35">
      <c r="A67" s="62">
        <v>10225</v>
      </c>
      <c r="B67" s="62" t="s">
        <v>531</v>
      </c>
      <c r="C67" s="62" t="s">
        <v>76</v>
      </c>
      <c r="D67" s="62" t="s">
        <v>27</v>
      </c>
      <c r="E67" s="62">
        <v>4</v>
      </c>
      <c r="F67" s="62">
        <v>2.5</v>
      </c>
      <c r="G67" s="62">
        <v>2060</v>
      </c>
      <c r="H67" s="62">
        <v>7630</v>
      </c>
      <c r="I67" s="62">
        <v>2018</v>
      </c>
      <c r="J67" s="62">
        <v>2</v>
      </c>
      <c r="K67" s="62"/>
      <c r="L67" s="62">
        <v>430000</v>
      </c>
      <c r="M67" s="62">
        <v>405000</v>
      </c>
      <c r="N67" s="62">
        <v>40</v>
      </c>
      <c r="O67" s="62">
        <v>2.93</v>
      </c>
    </row>
    <row r="68" spans="1:15" x14ac:dyDescent="0.35">
      <c r="A68" s="62">
        <v>10177</v>
      </c>
      <c r="B68" s="62" t="s">
        <v>532</v>
      </c>
      <c r="C68" s="62" t="s">
        <v>396</v>
      </c>
      <c r="D68" s="62" t="s">
        <v>27</v>
      </c>
      <c r="E68" s="62">
        <v>3</v>
      </c>
      <c r="F68" s="62">
        <v>2</v>
      </c>
      <c r="G68" s="62">
        <v>1440</v>
      </c>
      <c r="H68" s="62">
        <v>6370</v>
      </c>
      <c r="I68" s="62">
        <v>2016</v>
      </c>
      <c r="J68" s="62">
        <v>2</v>
      </c>
      <c r="K68" s="62" t="s">
        <v>180</v>
      </c>
      <c r="L68" s="62">
        <v>351000</v>
      </c>
      <c r="M68" s="62">
        <v>336000</v>
      </c>
      <c r="N68" s="62">
        <v>78</v>
      </c>
      <c r="O68" s="62">
        <v>3.02</v>
      </c>
    </row>
    <row r="69" spans="1:15" x14ac:dyDescent="0.35">
      <c r="A69" s="62">
        <v>10166</v>
      </c>
      <c r="B69" s="62" t="s">
        <v>533</v>
      </c>
      <c r="C69" s="62" t="s">
        <v>76</v>
      </c>
      <c r="D69" s="62" t="s">
        <v>405</v>
      </c>
      <c r="E69" s="62">
        <v>4</v>
      </c>
      <c r="F69" s="62">
        <v>2.5</v>
      </c>
      <c r="G69" s="62">
        <v>2360</v>
      </c>
      <c r="H69" s="62">
        <v>7460</v>
      </c>
      <c r="I69" s="62">
        <v>2000</v>
      </c>
      <c r="J69" s="62"/>
      <c r="K69" s="62" t="s">
        <v>414</v>
      </c>
      <c r="L69" s="62">
        <v>511000</v>
      </c>
      <c r="M69" s="62">
        <v>514000</v>
      </c>
      <c r="N69" s="62">
        <v>51</v>
      </c>
      <c r="O69" s="62">
        <v>3.24</v>
      </c>
    </row>
    <row r="70" spans="1:15" x14ac:dyDescent="0.35">
      <c r="A70" s="62">
        <v>10073</v>
      </c>
      <c r="B70" s="62" t="s">
        <v>534</v>
      </c>
      <c r="C70" s="62" t="s">
        <v>72</v>
      </c>
      <c r="D70" s="62" t="s">
        <v>27</v>
      </c>
      <c r="E70" s="62">
        <v>2</v>
      </c>
      <c r="F70" s="62">
        <v>1</v>
      </c>
      <c r="G70" s="62">
        <v>1480</v>
      </c>
      <c r="H70" s="62">
        <v>3890</v>
      </c>
      <c r="I70" s="62">
        <v>2016</v>
      </c>
      <c r="J70" s="62">
        <v>2</v>
      </c>
      <c r="K70" s="62" t="s">
        <v>180</v>
      </c>
      <c r="L70" s="62">
        <v>244000</v>
      </c>
      <c r="M70" s="62">
        <v>238000</v>
      </c>
      <c r="N70" s="62">
        <v>83</v>
      </c>
      <c r="O70" s="62">
        <v>2.54</v>
      </c>
    </row>
    <row r="71" spans="1:15" x14ac:dyDescent="0.35">
      <c r="A71" s="62">
        <v>10224</v>
      </c>
      <c r="B71" s="62" t="s">
        <v>535</v>
      </c>
      <c r="C71" s="62" t="s">
        <v>72</v>
      </c>
      <c r="D71" s="62" t="s">
        <v>27</v>
      </c>
      <c r="E71" s="62">
        <v>3</v>
      </c>
      <c r="F71" s="62">
        <v>3</v>
      </c>
      <c r="G71" s="62">
        <v>1950</v>
      </c>
      <c r="H71" s="62">
        <v>4460</v>
      </c>
      <c r="I71" s="62">
        <v>1983</v>
      </c>
      <c r="J71" s="62">
        <v>2</v>
      </c>
      <c r="K71" s="62" t="s">
        <v>179</v>
      </c>
      <c r="L71" s="62">
        <v>350000</v>
      </c>
      <c r="M71" s="62">
        <v>355000</v>
      </c>
      <c r="N71" s="62">
        <v>96</v>
      </c>
      <c r="O71" s="62">
        <v>2.69</v>
      </c>
    </row>
    <row r="72" spans="1:15" x14ac:dyDescent="0.35">
      <c r="A72" s="62">
        <v>10172</v>
      </c>
      <c r="B72" s="62" t="s">
        <v>536</v>
      </c>
      <c r="C72" s="62" t="s">
        <v>74</v>
      </c>
      <c r="D72" s="62" t="s">
        <v>27</v>
      </c>
      <c r="E72" s="62">
        <v>3</v>
      </c>
      <c r="F72" s="62">
        <v>3</v>
      </c>
      <c r="G72" s="62">
        <v>1600</v>
      </c>
      <c r="H72" s="62">
        <v>5040</v>
      </c>
      <c r="I72" s="62">
        <v>1990</v>
      </c>
      <c r="J72" s="62">
        <v>0</v>
      </c>
      <c r="K72" s="62" t="s">
        <v>179</v>
      </c>
      <c r="L72" s="62">
        <v>328000</v>
      </c>
      <c r="M72" s="62">
        <v>317000</v>
      </c>
      <c r="N72" s="62">
        <v>68</v>
      </c>
      <c r="O72" s="62">
        <v>2.99</v>
      </c>
    </row>
    <row r="73" spans="1:15" x14ac:dyDescent="0.35">
      <c r="A73" s="62">
        <v>10180</v>
      </c>
      <c r="B73" s="62" t="s">
        <v>537</v>
      </c>
      <c r="C73" s="62" t="s">
        <v>386</v>
      </c>
      <c r="D73" s="62" t="s">
        <v>26</v>
      </c>
      <c r="E73" s="62">
        <v>2</v>
      </c>
      <c r="F73" s="62">
        <v>2</v>
      </c>
      <c r="G73" s="62">
        <v>1280</v>
      </c>
      <c r="H73" s="62">
        <v>0</v>
      </c>
      <c r="I73" s="62">
        <v>1974</v>
      </c>
      <c r="J73" s="62">
        <v>1</v>
      </c>
      <c r="K73" s="62" t="s">
        <v>180</v>
      </c>
      <c r="L73" s="62">
        <v>422000</v>
      </c>
      <c r="M73" s="62">
        <v>383000</v>
      </c>
      <c r="N73" s="62">
        <v>73</v>
      </c>
      <c r="O73" s="62">
        <v>2.98</v>
      </c>
    </row>
    <row r="74" spans="1:15" x14ac:dyDescent="0.35">
      <c r="A74" s="62">
        <v>10151</v>
      </c>
      <c r="B74" s="62" t="s">
        <v>538</v>
      </c>
      <c r="C74" s="62" t="s">
        <v>72</v>
      </c>
      <c r="D74" s="62" t="s">
        <v>27</v>
      </c>
      <c r="E74" s="62">
        <v>3</v>
      </c>
      <c r="F74" s="62"/>
      <c r="G74" s="62">
        <v>1790</v>
      </c>
      <c r="H74" s="62">
        <v>7470</v>
      </c>
      <c r="I74" s="62">
        <v>2020</v>
      </c>
      <c r="J74" s="62">
        <v>2</v>
      </c>
      <c r="K74" s="62" t="s">
        <v>180</v>
      </c>
      <c r="L74" s="62">
        <v>375000</v>
      </c>
      <c r="M74" s="62">
        <v>355000</v>
      </c>
      <c r="N74" s="62">
        <v>60</v>
      </c>
      <c r="O74" s="62">
        <v>3.2</v>
      </c>
    </row>
    <row r="75" spans="1:15" x14ac:dyDescent="0.35">
      <c r="A75" s="62">
        <v>10051</v>
      </c>
      <c r="B75" s="62" t="s">
        <v>539</v>
      </c>
      <c r="C75" s="62" t="s">
        <v>75</v>
      </c>
      <c r="D75" s="62" t="s">
        <v>28</v>
      </c>
      <c r="E75" s="62">
        <v>3</v>
      </c>
      <c r="F75" s="62">
        <v>2</v>
      </c>
      <c r="G75" s="62">
        <v>1750</v>
      </c>
      <c r="H75" s="62">
        <v>1720</v>
      </c>
      <c r="I75" s="62">
        <v>2006</v>
      </c>
      <c r="J75" s="62">
        <v>2</v>
      </c>
      <c r="K75" s="62" t="s">
        <v>178</v>
      </c>
      <c r="L75" s="62">
        <v>479000</v>
      </c>
      <c r="M75" s="62">
        <v>492000</v>
      </c>
      <c r="N75" s="62">
        <v>36</v>
      </c>
      <c r="O75" s="62">
        <v>2.54</v>
      </c>
    </row>
    <row r="76" spans="1:15" x14ac:dyDescent="0.35">
      <c r="A76" s="62">
        <v>10002</v>
      </c>
      <c r="B76" s="62" t="s">
        <v>540</v>
      </c>
      <c r="C76" s="62" t="s">
        <v>76</v>
      </c>
      <c r="D76" s="62" t="s">
        <v>26</v>
      </c>
      <c r="E76" s="62">
        <v>1</v>
      </c>
      <c r="F76" s="62">
        <v>1</v>
      </c>
      <c r="G76" s="62">
        <v>760</v>
      </c>
      <c r="H76" s="62">
        <v>0</v>
      </c>
      <c r="I76" s="62">
        <v>2021</v>
      </c>
      <c r="J76" s="62">
        <v>1</v>
      </c>
      <c r="K76" s="62" t="s">
        <v>179</v>
      </c>
      <c r="L76" s="62">
        <v>200000</v>
      </c>
      <c r="M76" s="62">
        <v>198000</v>
      </c>
      <c r="N76" s="62">
        <v>67</v>
      </c>
      <c r="O76" s="62">
        <v>3.18</v>
      </c>
    </row>
    <row r="77" spans="1:15" x14ac:dyDescent="0.35">
      <c r="A77" s="62">
        <v>10072</v>
      </c>
      <c r="B77" s="62" t="s">
        <v>541</v>
      </c>
      <c r="C77" s="62" t="s">
        <v>396</v>
      </c>
      <c r="D77" s="62" t="s">
        <v>27</v>
      </c>
      <c r="E77" s="62">
        <v>3</v>
      </c>
      <c r="F77" s="62">
        <v>2.5</v>
      </c>
      <c r="G77" s="62">
        <v>1790</v>
      </c>
      <c r="H77" s="62">
        <v>7960</v>
      </c>
      <c r="I77" s="62">
        <v>2006</v>
      </c>
      <c r="J77" s="62">
        <v>2</v>
      </c>
      <c r="K77" s="62" t="s">
        <v>178</v>
      </c>
      <c r="L77" s="62">
        <v>443000</v>
      </c>
      <c r="M77" s="62">
        <v>440000</v>
      </c>
      <c r="N77" s="62">
        <v>36</v>
      </c>
      <c r="O77" s="62">
        <v>2.96</v>
      </c>
    </row>
    <row r="78" spans="1:15" x14ac:dyDescent="0.35">
      <c r="A78" s="62">
        <v>10230</v>
      </c>
      <c r="B78" s="62" t="s">
        <v>542</v>
      </c>
      <c r="C78" s="62" t="s">
        <v>75</v>
      </c>
      <c r="D78" s="62" t="s">
        <v>27</v>
      </c>
      <c r="E78" s="62">
        <v>3</v>
      </c>
      <c r="F78" s="62">
        <v>2</v>
      </c>
      <c r="G78" s="62">
        <v>1890</v>
      </c>
      <c r="H78" s="62">
        <v>7410</v>
      </c>
      <c r="I78" s="62">
        <v>1972</v>
      </c>
      <c r="J78" s="62">
        <v>1</v>
      </c>
      <c r="K78" s="62" t="s">
        <v>180</v>
      </c>
      <c r="L78" s="62">
        <v>531000</v>
      </c>
      <c r="M78" s="62">
        <v>510000</v>
      </c>
      <c r="N78" s="62">
        <v>91</v>
      </c>
      <c r="O78" s="62">
        <v>3.28</v>
      </c>
    </row>
    <row r="79" spans="1:15" x14ac:dyDescent="0.35">
      <c r="A79" s="62">
        <v>10069</v>
      </c>
      <c r="B79" s="62" t="s">
        <v>542</v>
      </c>
      <c r="C79" s="62" t="s">
        <v>75</v>
      </c>
      <c r="D79" s="62" t="s">
        <v>27</v>
      </c>
      <c r="E79" s="62">
        <v>4</v>
      </c>
      <c r="F79" s="62">
        <v>2.5</v>
      </c>
      <c r="G79" s="62">
        <v>1810</v>
      </c>
      <c r="H79" s="62">
        <v>7540</v>
      </c>
      <c r="I79" s="62">
        <v>2014</v>
      </c>
      <c r="J79" s="62">
        <v>2</v>
      </c>
      <c r="K79" s="62" t="s">
        <v>179</v>
      </c>
      <c r="L79" s="62">
        <v>475000</v>
      </c>
      <c r="M79" s="62">
        <v>466000</v>
      </c>
      <c r="N79" s="62">
        <v>44</v>
      </c>
      <c r="O79" s="62">
        <v>2.8</v>
      </c>
    </row>
    <row r="80" spans="1:15" x14ac:dyDescent="0.35">
      <c r="A80" s="62">
        <v>10223</v>
      </c>
      <c r="B80" s="62" t="s">
        <v>543</v>
      </c>
      <c r="C80" s="62" t="s">
        <v>74</v>
      </c>
      <c r="D80" s="62" t="s">
        <v>27</v>
      </c>
      <c r="E80" s="62">
        <v>3</v>
      </c>
      <c r="F80" s="62">
        <v>2</v>
      </c>
      <c r="G80" s="62">
        <v>1650</v>
      </c>
      <c r="H80" s="62">
        <v>3880</v>
      </c>
      <c r="I80" s="62">
        <v>1957</v>
      </c>
      <c r="J80" s="62">
        <v>2</v>
      </c>
      <c r="K80" s="62" t="s">
        <v>180</v>
      </c>
      <c r="L80" s="62">
        <v>284000</v>
      </c>
      <c r="M80" s="62">
        <v>278000</v>
      </c>
      <c r="N80" s="62">
        <v>100</v>
      </c>
      <c r="O80" s="62">
        <v>3.02</v>
      </c>
    </row>
    <row r="81" spans="1:15" x14ac:dyDescent="0.35">
      <c r="A81" s="62">
        <v>10109</v>
      </c>
      <c r="B81" s="62" t="s">
        <v>544</v>
      </c>
      <c r="C81" s="62" t="s">
        <v>75</v>
      </c>
      <c r="D81" s="62" t="s">
        <v>27</v>
      </c>
      <c r="E81" s="62">
        <v>4</v>
      </c>
      <c r="F81" s="62">
        <v>3.5</v>
      </c>
      <c r="G81" s="62">
        <v>2290</v>
      </c>
      <c r="H81" s="62">
        <v>8270</v>
      </c>
      <c r="I81" s="62">
        <v>2011</v>
      </c>
      <c r="J81" s="62">
        <v>2</v>
      </c>
      <c r="K81" s="62" t="s">
        <v>178</v>
      </c>
      <c r="L81" s="62">
        <v>616000</v>
      </c>
      <c r="M81" s="62">
        <v>615000</v>
      </c>
      <c r="N81" s="62">
        <v>41</v>
      </c>
      <c r="O81" s="62">
        <v>2.48</v>
      </c>
    </row>
    <row r="82" spans="1:15" x14ac:dyDescent="0.35">
      <c r="A82" s="62">
        <v>10035</v>
      </c>
      <c r="B82" s="62" t="s">
        <v>545</v>
      </c>
      <c r="C82" s="62" t="s">
        <v>76</v>
      </c>
      <c r="D82" s="62" t="s">
        <v>406</v>
      </c>
      <c r="E82" s="62">
        <v>5</v>
      </c>
      <c r="F82" s="62">
        <v>4</v>
      </c>
      <c r="G82" s="62">
        <v>2540</v>
      </c>
      <c r="H82" s="62">
        <v>10050</v>
      </c>
      <c r="I82" s="62">
        <v>1993</v>
      </c>
      <c r="J82" s="62">
        <v>2</v>
      </c>
      <c r="K82" s="62" t="s">
        <v>412</v>
      </c>
      <c r="L82" s="62">
        <v>515000</v>
      </c>
      <c r="M82" s="62">
        <v>510000</v>
      </c>
      <c r="N82" s="62">
        <v>62</v>
      </c>
      <c r="O82" s="62">
        <v>3.22</v>
      </c>
    </row>
    <row r="83" spans="1:15" x14ac:dyDescent="0.35">
      <c r="A83" s="62">
        <v>10011</v>
      </c>
      <c r="B83" s="62" t="s">
        <v>546</v>
      </c>
      <c r="C83" s="62" t="s">
        <v>76</v>
      </c>
      <c r="D83" s="62" t="s">
        <v>27</v>
      </c>
      <c r="E83" s="62">
        <v>2</v>
      </c>
      <c r="F83" s="62">
        <v>2.5</v>
      </c>
      <c r="G83" s="62">
        <v>1330</v>
      </c>
      <c r="H83" s="62">
        <v>4520</v>
      </c>
      <c r="I83" s="62"/>
      <c r="J83" s="62">
        <v>2</v>
      </c>
      <c r="K83" s="62" t="s">
        <v>179</v>
      </c>
      <c r="L83" s="62">
        <v>312000</v>
      </c>
      <c r="M83" s="62">
        <v>285000</v>
      </c>
      <c r="N83" s="62">
        <v>42</v>
      </c>
      <c r="O83" s="62">
        <v>2.89</v>
      </c>
    </row>
    <row r="84" spans="1:15" x14ac:dyDescent="0.35">
      <c r="A84" s="62">
        <v>10234</v>
      </c>
      <c r="B84" s="62" t="s">
        <v>547</v>
      </c>
      <c r="C84" s="62" t="s">
        <v>74</v>
      </c>
      <c r="D84" s="62" t="s">
        <v>27</v>
      </c>
      <c r="E84" s="62">
        <v>3</v>
      </c>
      <c r="F84" s="62">
        <v>1.5</v>
      </c>
      <c r="G84" s="62">
        <v>1650</v>
      </c>
      <c r="H84" s="62">
        <v>5030</v>
      </c>
      <c r="I84" s="62">
        <v>2007</v>
      </c>
      <c r="J84" s="62">
        <v>2</v>
      </c>
      <c r="K84" s="62" t="s">
        <v>411</v>
      </c>
      <c r="L84" s="62">
        <v>412000</v>
      </c>
      <c r="M84" s="62">
        <v>396000</v>
      </c>
      <c r="N84" s="62">
        <v>60</v>
      </c>
      <c r="O84" s="62">
        <v>2.9</v>
      </c>
    </row>
    <row r="85" spans="1:15" x14ac:dyDescent="0.35">
      <c r="A85" s="62">
        <v>10176</v>
      </c>
      <c r="B85" s="62" t="s">
        <v>547</v>
      </c>
      <c r="C85" s="62" t="s">
        <v>75</v>
      </c>
      <c r="D85" s="62" t="s">
        <v>28</v>
      </c>
      <c r="E85" s="62">
        <v>3</v>
      </c>
      <c r="F85" s="62">
        <v>2.5</v>
      </c>
      <c r="G85" s="62">
        <v>1920</v>
      </c>
      <c r="H85" s="62">
        <v>2530</v>
      </c>
      <c r="I85" s="62">
        <v>2013</v>
      </c>
      <c r="J85" s="62">
        <v>3</v>
      </c>
      <c r="K85" s="62" t="s">
        <v>414</v>
      </c>
      <c r="L85" s="62">
        <v>530000</v>
      </c>
      <c r="M85" s="62">
        <v>509000</v>
      </c>
      <c r="N85" s="62">
        <v>24</v>
      </c>
      <c r="O85" s="62">
        <v>2.4300000000000002</v>
      </c>
    </row>
    <row r="86" spans="1:15" x14ac:dyDescent="0.35">
      <c r="A86" s="62">
        <v>10175</v>
      </c>
      <c r="B86" s="62" t="s">
        <v>548</v>
      </c>
      <c r="C86" s="62" t="s">
        <v>393</v>
      </c>
      <c r="D86" s="62" t="s">
        <v>405</v>
      </c>
      <c r="E86" s="62">
        <v>3</v>
      </c>
      <c r="F86" s="62">
        <v>1.5</v>
      </c>
      <c r="G86" s="62">
        <v>1790</v>
      </c>
      <c r="H86" s="62">
        <v>7930</v>
      </c>
      <c r="I86" s="62">
        <v>1979</v>
      </c>
      <c r="J86" s="62">
        <v>2</v>
      </c>
      <c r="K86" s="62" t="s">
        <v>181</v>
      </c>
      <c r="L86" s="62">
        <v>397000</v>
      </c>
      <c r="M86" s="62">
        <v>386000</v>
      </c>
      <c r="N86" s="62">
        <v>59</v>
      </c>
      <c r="O86" s="62">
        <v>3.23</v>
      </c>
    </row>
    <row r="87" spans="1:15" x14ac:dyDescent="0.35">
      <c r="A87" s="62">
        <v>10162</v>
      </c>
      <c r="B87" s="62" t="s">
        <v>549</v>
      </c>
      <c r="C87" s="62" t="s">
        <v>72</v>
      </c>
      <c r="D87" s="62" t="s">
        <v>28</v>
      </c>
      <c r="E87" s="62">
        <v>3</v>
      </c>
      <c r="F87" s="62">
        <v>2</v>
      </c>
      <c r="G87" s="62">
        <v>1750</v>
      </c>
      <c r="H87" s="62">
        <v>1580</v>
      </c>
      <c r="I87" s="62">
        <v>2018</v>
      </c>
      <c r="J87" s="62">
        <v>1</v>
      </c>
      <c r="K87" s="62" t="s">
        <v>180</v>
      </c>
      <c r="L87" s="62">
        <v>252000</v>
      </c>
      <c r="M87" s="62">
        <v>232000</v>
      </c>
      <c r="N87" s="62">
        <v>58</v>
      </c>
      <c r="O87" s="62">
        <v>3.05</v>
      </c>
    </row>
    <row r="88" spans="1:15" x14ac:dyDescent="0.35">
      <c r="A88" s="62">
        <v>10047</v>
      </c>
      <c r="B88" s="62" t="s">
        <v>550</v>
      </c>
      <c r="C88" s="62" t="s">
        <v>76</v>
      </c>
      <c r="D88" s="62" t="s">
        <v>26</v>
      </c>
      <c r="E88" s="62">
        <v>1</v>
      </c>
      <c r="F88" s="62">
        <v>2</v>
      </c>
      <c r="G88" s="62">
        <v>520</v>
      </c>
      <c r="H88" s="62">
        <v>0</v>
      </c>
      <c r="I88" s="62">
        <v>1992</v>
      </c>
      <c r="J88" s="62">
        <v>0</v>
      </c>
      <c r="K88" s="62" t="s">
        <v>179</v>
      </c>
      <c r="L88" s="62">
        <v>123000</v>
      </c>
      <c r="M88" s="62">
        <v>119000</v>
      </c>
      <c r="N88" s="62">
        <v>51</v>
      </c>
      <c r="O88" s="62"/>
    </row>
    <row r="89" spans="1:15" x14ac:dyDescent="0.35">
      <c r="A89" s="62">
        <v>10111</v>
      </c>
      <c r="B89" s="62" t="s">
        <v>551</v>
      </c>
      <c r="C89" s="62" t="s">
        <v>76</v>
      </c>
      <c r="D89" s="62" t="s">
        <v>26</v>
      </c>
      <c r="E89" s="62">
        <v>2</v>
      </c>
      <c r="F89" s="62"/>
      <c r="G89" s="62">
        <v>1310</v>
      </c>
      <c r="H89" s="62">
        <v>0</v>
      </c>
      <c r="I89" s="62"/>
      <c r="J89" s="62">
        <v>0</v>
      </c>
      <c r="K89" s="62" t="s">
        <v>179</v>
      </c>
      <c r="L89" s="62">
        <v>273000</v>
      </c>
      <c r="M89" s="62">
        <v>263000</v>
      </c>
      <c r="N89" s="62">
        <v>36</v>
      </c>
      <c r="O89" s="62">
        <v>2.92</v>
      </c>
    </row>
    <row r="90" spans="1:15" x14ac:dyDescent="0.35">
      <c r="A90" s="62">
        <v>10168</v>
      </c>
      <c r="B90" s="62" t="s">
        <v>552</v>
      </c>
      <c r="C90" s="62" t="s">
        <v>73</v>
      </c>
      <c r="D90" s="62" t="s">
        <v>28</v>
      </c>
      <c r="E90" s="62">
        <v>3</v>
      </c>
      <c r="F90" s="62">
        <v>3.5</v>
      </c>
      <c r="G90" s="62">
        <v>2010</v>
      </c>
      <c r="H90" s="62">
        <v>2420</v>
      </c>
      <c r="I90" s="62">
        <v>1984</v>
      </c>
      <c r="J90" s="62">
        <v>1</v>
      </c>
      <c r="K90" s="62" t="s">
        <v>416</v>
      </c>
      <c r="L90" s="62">
        <v>528000</v>
      </c>
      <c r="M90" s="62">
        <v>501000</v>
      </c>
      <c r="N90" s="62">
        <v>67</v>
      </c>
      <c r="O90" s="62">
        <v>2.48</v>
      </c>
    </row>
    <row r="91" spans="1:15" x14ac:dyDescent="0.35">
      <c r="A91" s="62">
        <v>10208</v>
      </c>
      <c r="B91" s="62" t="s">
        <v>553</v>
      </c>
      <c r="C91" s="62" t="s">
        <v>389</v>
      </c>
      <c r="D91" s="62" t="s">
        <v>404</v>
      </c>
      <c r="E91" s="62">
        <v>3</v>
      </c>
      <c r="F91" s="62">
        <v>3</v>
      </c>
      <c r="G91" s="62">
        <v>1740</v>
      </c>
      <c r="H91" s="62">
        <v>7320</v>
      </c>
      <c r="I91" s="62">
        <v>1970</v>
      </c>
      <c r="J91" s="62">
        <v>0</v>
      </c>
      <c r="K91" s="62" t="s">
        <v>178</v>
      </c>
      <c r="L91" s="62">
        <v>381000</v>
      </c>
      <c r="M91" s="62">
        <v>346000</v>
      </c>
      <c r="N91" s="62">
        <v>67</v>
      </c>
      <c r="O91" s="62">
        <v>3.22</v>
      </c>
    </row>
    <row r="92" spans="1:15" x14ac:dyDescent="0.35">
      <c r="A92" s="62">
        <v>10006</v>
      </c>
      <c r="B92" s="62" t="s">
        <v>554</v>
      </c>
      <c r="C92" s="62" t="s">
        <v>72</v>
      </c>
      <c r="D92" s="62" t="s">
        <v>28</v>
      </c>
      <c r="E92" s="62">
        <v>3</v>
      </c>
      <c r="F92" s="62">
        <v>2.5</v>
      </c>
      <c r="G92" s="62">
        <v>1750</v>
      </c>
      <c r="H92" s="62">
        <v>2320</v>
      </c>
      <c r="I92" s="62">
        <v>1989</v>
      </c>
      <c r="J92" s="62">
        <v>0</v>
      </c>
      <c r="K92" s="62" t="s">
        <v>178</v>
      </c>
      <c r="L92" s="62">
        <v>272000</v>
      </c>
      <c r="M92" s="62">
        <v>259000</v>
      </c>
      <c r="N92" s="62"/>
      <c r="O92" s="62">
        <v>2.94</v>
      </c>
    </row>
    <row r="93" spans="1:15" x14ac:dyDescent="0.35">
      <c r="A93" s="62">
        <v>10013</v>
      </c>
      <c r="B93" s="62" t="s">
        <v>555</v>
      </c>
      <c r="C93" s="62" t="s">
        <v>74</v>
      </c>
      <c r="D93" s="62" t="s">
        <v>404</v>
      </c>
      <c r="E93" s="62">
        <v>3</v>
      </c>
      <c r="F93" s="62">
        <v>2</v>
      </c>
      <c r="G93" s="62">
        <v>1740</v>
      </c>
      <c r="H93" s="62">
        <v>3960</v>
      </c>
      <c r="I93" s="62">
        <v>1968</v>
      </c>
      <c r="J93" s="62">
        <v>2</v>
      </c>
      <c r="K93" s="62" t="s">
        <v>180</v>
      </c>
      <c r="L93" s="62">
        <v>303000</v>
      </c>
      <c r="M93" s="62">
        <v>306000</v>
      </c>
      <c r="N93" s="62">
        <v>41</v>
      </c>
      <c r="O93" s="62">
        <v>3.05</v>
      </c>
    </row>
    <row r="94" spans="1:15" x14ac:dyDescent="0.35">
      <c r="A94" s="62">
        <v>10189</v>
      </c>
      <c r="B94" s="62" t="s">
        <v>556</v>
      </c>
      <c r="C94" s="62"/>
      <c r="D94" s="62" t="s">
        <v>28</v>
      </c>
      <c r="E94" s="62">
        <v>2</v>
      </c>
      <c r="F94" s="62">
        <v>1.5</v>
      </c>
      <c r="G94" s="62">
        <v>1280</v>
      </c>
      <c r="H94" s="62">
        <v>2060</v>
      </c>
      <c r="I94" s="62">
        <v>2024</v>
      </c>
      <c r="J94" s="62">
        <v>2</v>
      </c>
      <c r="K94" s="62" t="s">
        <v>179</v>
      </c>
      <c r="L94" s="62">
        <v>365000</v>
      </c>
      <c r="M94" s="62">
        <v>365000</v>
      </c>
      <c r="N94" s="62">
        <v>35</v>
      </c>
      <c r="O94" s="62">
        <v>3.07</v>
      </c>
    </row>
    <row r="95" spans="1:15" x14ac:dyDescent="0.35">
      <c r="A95" s="62">
        <v>10242</v>
      </c>
      <c r="B95" s="62" t="s">
        <v>557</v>
      </c>
      <c r="C95" s="62" t="s">
        <v>386</v>
      </c>
      <c r="D95" s="62" t="s">
        <v>26</v>
      </c>
      <c r="E95" s="62">
        <v>2</v>
      </c>
      <c r="F95" s="62">
        <v>2</v>
      </c>
      <c r="G95" s="62">
        <v>1230</v>
      </c>
      <c r="H95" s="62">
        <v>0</v>
      </c>
      <c r="I95" s="62">
        <v>1965</v>
      </c>
      <c r="J95" s="62">
        <v>1</v>
      </c>
      <c r="K95" s="62" t="s">
        <v>180</v>
      </c>
      <c r="L95" s="62">
        <v>309000</v>
      </c>
      <c r="M95" s="62">
        <v>286000</v>
      </c>
      <c r="N95" s="62">
        <v>82</v>
      </c>
      <c r="O95" s="62">
        <v>2.41</v>
      </c>
    </row>
    <row r="96" spans="1:15" x14ac:dyDescent="0.35">
      <c r="A96" s="62">
        <v>10248</v>
      </c>
      <c r="B96" s="62" t="s">
        <v>558</v>
      </c>
      <c r="C96" s="62" t="s">
        <v>76</v>
      </c>
      <c r="D96" s="62" t="s">
        <v>407</v>
      </c>
      <c r="E96" s="62">
        <v>2</v>
      </c>
      <c r="F96" s="62">
        <v>1</v>
      </c>
      <c r="G96" s="62">
        <v>1350</v>
      </c>
      <c r="H96" s="62">
        <v>2720</v>
      </c>
      <c r="I96" s="62">
        <v>2015</v>
      </c>
      <c r="J96" s="62">
        <v>2</v>
      </c>
      <c r="K96" s="62" t="s">
        <v>179</v>
      </c>
      <c r="L96" s="62">
        <v>311000</v>
      </c>
      <c r="M96" s="62">
        <v>295000</v>
      </c>
      <c r="N96" s="62">
        <v>87</v>
      </c>
      <c r="O96" s="62">
        <v>2.52</v>
      </c>
    </row>
    <row r="97" spans="1:15" x14ac:dyDescent="0.35">
      <c r="A97" s="62">
        <v>10146</v>
      </c>
      <c r="B97" s="62" t="s">
        <v>559</v>
      </c>
      <c r="C97" s="62" t="s">
        <v>76</v>
      </c>
      <c r="D97" s="62" t="s">
        <v>27</v>
      </c>
      <c r="E97" s="62">
        <v>3</v>
      </c>
      <c r="F97" s="62">
        <v>2</v>
      </c>
      <c r="G97" s="62">
        <v>1970</v>
      </c>
      <c r="H97" s="62">
        <v>7310</v>
      </c>
      <c r="I97" s="62">
        <v>2024</v>
      </c>
      <c r="J97" s="62">
        <v>1</v>
      </c>
      <c r="K97" s="62" t="s">
        <v>180</v>
      </c>
      <c r="L97" s="62">
        <v>437000</v>
      </c>
      <c r="M97" s="62">
        <v>429000</v>
      </c>
      <c r="N97" s="62">
        <v>74</v>
      </c>
      <c r="O97" s="62"/>
    </row>
    <row r="98" spans="1:15" x14ac:dyDescent="0.35">
      <c r="A98" s="62">
        <v>10076</v>
      </c>
      <c r="B98" s="62" t="s">
        <v>560</v>
      </c>
      <c r="C98" s="62" t="s">
        <v>76</v>
      </c>
      <c r="D98" s="62" t="s">
        <v>409</v>
      </c>
      <c r="E98" s="62">
        <v>3</v>
      </c>
      <c r="F98" s="62">
        <v>3</v>
      </c>
      <c r="G98" s="62">
        <v>1580</v>
      </c>
      <c r="H98" s="62">
        <v>2130</v>
      </c>
      <c r="I98" s="62">
        <v>1940</v>
      </c>
      <c r="J98" s="62"/>
      <c r="K98" s="62"/>
      <c r="L98" s="62">
        <v>333000</v>
      </c>
      <c r="M98" s="62">
        <v>317000</v>
      </c>
      <c r="N98" s="62">
        <v>42</v>
      </c>
      <c r="O98" s="62">
        <v>2.78</v>
      </c>
    </row>
    <row r="99" spans="1:15" x14ac:dyDescent="0.35">
      <c r="A99" s="62">
        <v>10020</v>
      </c>
      <c r="B99" s="62" t="s">
        <v>561</v>
      </c>
      <c r="C99" s="62" t="s">
        <v>74</v>
      </c>
      <c r="D99" s="62" t="s">
        <v>403</v>
      </c>
      <c r="E99" s="62">
        <v>3</v>
      </c>
      <c r="F99" s="62">
        <v>2.5</v>
      </c>
      <c r="G99" s="62">
        <v>2030</v>
      </c>
      <c r="H99" s="62">
        <v>6600</v>
      </c>
      <c r="I99" s="62">
        <v>2019</v>
      </c>
      <c r="J99" s="62">
        <v>2</v>
      </c>
      <c r="K99" s="62" t="s">
        <v>179</v>
      </c>
      <c r="L99" s="62">
        <v>464000</v>
      </c>
      <c r="M99" s="62">
        <v>447000</v>
      </c>
      <c r="N99" s="62">
        <v>98</v>
      </c>
      <c r="O99" s="62">
        <v>2.71</v>
      </c>
    </row>
    <row r="100" spans="1:15" x14ac:dyDescent="0.35">
      <c r="A100" s="62">
        <v>10171</v>
      </c>
      <c r="B100" s="62" t="s">
        <v>561</v>
      </c>
      <c r="C100" s="62" t="s">
        <v>398</v>
      </c>
      <c r="D100" s="62" t="s">
        <v>28</v>
      </c>
      <c r="E100" s="62">
        <v>3</v>
      </c>
      <c r="F100" s="62">
        <v>3</v>
      </c>
      <c r="G100" s="62">
        <v>1530</v>
      </c>
      <c r="H100" s="62">
        <v>2360</v>
      </c>
      <c r="I100" s="62">
        <v>1992</v>
      </c>
      <c r="J100" s="62">
        <v>1</v>
      </c>
      <c r="K100" s="62" t="s">
        <v>178</v>
      </c>
      <c r="L100" s="62">
        <v>348000</v>
      </c>
      <c r="M100" s="62">
        <v>340000</v>
      </c>
      <c r="N100" s="62">
        <v>31</v>
      </c>
      <c r="O100" s="62">
        <v>2.67</v>
      </c>
    </row>
    <row r="101" spans="1:15" x14ac:dyDescent="0.35">
      <c r="A101" s="62">
        <v>10042</v>
      </c>
      <c r="B101" s="62" t="s">
        <v>562</v>
      </c>
      <c r="C101" s="62" t="s">
        <v>385</v>
      </c>
      <c r="D101" s="62" t="s">
        <v>27</v>
      </c>
      <c r="E101" s="62">
        <v>4</v>
      </c>
      <c r="F101" s="62">
        <v>3</v>
      </c>
      <c r="G101" s="62">
        <v>2060</v>
      </c>
      <c r="H101" s="62">
        <v>6640</v>
      </c>
      <c r="I101" s="62">
        <v>2023</v>
      </c>
      <c r="J101" s="62">
        <v>2</v>
      </c>
      <c r="K101" s="62" t="s">
        <v>179</v>
      </c>
      <c r="L101" s="62">
        <v>386000</v>
      </c>
      <c r="M101" s="62">
        <v>372000</v>
      </c>
      <c r="N101" s="62">
        <v>29</v>
      </c>
      <c r="O101" s="62">
        <v>3</v>
      </c>
    </row>
    <row r="102" spans="1:15" x14ac:dyDescent="0.35">
      <c r="A102" s="62">
        <v>10209</v>
      </c>
      <c r="B102" s="62" t="s">
        <v>562</v>
      </c>
      <c r="C102" s="62" t="s">
        <v>75</v>
      </c>
      <c r="D102" s="62" t="s">
        <v>28</v>
      </c>
      <c r="E102" s="62">
        <v>2</v>
      </c>
      <c r="F102" s="62">
        <v>1.5</v>
      </c>
      <c r="G102" s="62">
        <v>1360</v>
      </c>
      <c r="H102" s="62">
        <v>2150</v>
      </c>
      <c r="I102" s="62">
        <v>1957</v>
      </c>
      <c r="J102" s="62">
        <v>1</v>
      </c>
      <c r="K102" s="62" t="s">
        <v>179</v>
      </c>
      <c r="L102" s="62">
        <v>311000</v>
      </c>
      <c r="M102" s="62">
        <v>289000</v>
      </c>
      <c r="N102" s="62">
        <v>71</v>
      </c>
      <c r="O102" s="62">
        <v>3.29</v>
      </c>
    </row>
    <row r="103" spans="1:15" x14ac:dyDescent="0.35">
      <c r="A103" s="62">
        <v>10192</v>
      </c>
      <c r="B103" s="62" t="s">
        <v>563</v>
      </c>
      <c r="C103" s="62" t="s">
        <v>76</v>
      </c>
      <c r="D103" s="62" t="s">
        <v>27</v>
      </c>
      <c r="E103" s="62">
        <v>2</v>
      </c>
      <c r="F103" s="62">
        <v>2.5</v>
      </c>
      <c r="G103" s="62">
        <v>1530</v>
      </c>
      <c r="H103" s="62">
        <v>3600</v>
      </c>
      <c r="I103" s="62">
        <v>2014</v>
      </c>
      <c r="J103" s="62">
        <v>2</v>
      </c>
      <c r="K103" s="62" t="s">
        <v>180</v>
      </c>
      <c r="L103" s="62">
        <v>360000</v>
      </c>
      <c r="M103" s="62">
        <v>372000</v>
      </c>
      <c r="N103" s="62">
        <v>76</v>
      </c>
      <c r="O103" s="62">
        <v>3.02</v>
      </c>
    </row>
    <row r="104" spans="1:15" x14ac:dyDescent="0.35">
      <c r="A104" s="62">
        <v>10148</v>
      </c>
      <c r="B104" s="62" t="s">
        <v>564</v>
      </c>
      <c r="C104" s="62" t="s">
        <v>74</v>
      </c>
      <c r="D104" s="62" t="s">
        <v>27</v>
      </c>
      <c r="E104" s="62">
        <v>5</v>
      </c>
      <c r="F104" s="62">
        <v>4.5</v>
      </c>
      <c r="G104" s="62">
        <v>2630</v>
      </c>
      <c r="H104" s="62">
        <v>10440</v>
      </c>
      <c r="I104" s="62">
        <v>2014</v>
      </c>
      <c r="J104" s="62">
        <v>2</v>
      </c>
      <c r="K104" s="62"/>
      <c r="L104" s="62">
        <v>498000</v>
      </c>
      <c r="M104" s="62">
        <v>485000</v>
      </c>
      <c r="N104" s="62">
        <v>63</v>
      </c>
      <c r="O104" s="62">
        <v>3</v>
      </c>
    </row>
    <row r="105" spans="1:15" x14ac:dyDescent="0.35">
      <c r="A105" s="62">
        <v>10049</v>
      </c>
      <c r="B105" s="62" t="s">
        <v>565</v>
      </c>
      <c r="C105" s="62" t="s">
        <v>391</v>
      </c>
      <c r="D105" s="62" t="s">
        <v>28</v>
      </c>
      <c r="E105" s="62">
        <v>4</v>
      </c>
      <c r="F105" s="62">
        <v>2.5</v>
      </c>
      <c r="G105" s="62">
        <v>2510</v>
      </c>
      <c r="H105" s="62">
        <v>1980</v>
      </c>
      <c r="I105" s="62">
        <v>2022</v>
      </c>
      <c r="J105" s="62">
        <v>2</v>
      </c>
      <c r="K105" s="62" t="s">
        <v>179</v>
      </c>
      <c r="L105" s="62">
        <v>492000</v>
      </c>
      <c r="M105" s="62">
        <v>498000</v>
      </c>
      <c r="N105" s="62">
        <v>25</v>
      </c>
      <c r="O105" s="62">
        <v>3</v>
      </c>
    </row>
    <row r="106" spans="1:15" x14ac:dyDescent="0.35">
      <c r="A106" s="62">
        <v>10121</v>
      </c>
      <c r="B106" s="62" t="s">
        <v>566</v>
      </c>
      <c r="C106" s="62" t="s">
        <v>74</v>
      </c>
      <c r="D106" s="62" t="s">
        <v>408</v>
      </c>
      <c r="E106" s="62">
        <v>3</v>
      </c>
      <c r="F106" s="62">
        <v>3</v>
      </c>
      <c r="G106" s="62">
        <v>1940</v>
      </c>
      <c r="H106" s="62">
        <v>1440</v>
      </c>
      <c r="I106" s="62">
        <v>1986</v>
      </c>
      <c r="J106" s="62">
        <v>1</v>
      </c>
      <c r="K106" s="62" t="s">
        <v>179</v>
      </c>
      <c r="L106" s="62">
        <v>384000</v>
      </c>
      <c r="M106" s="62">
        <v>373000</v>
      </c>
      <c r="N106" s="62">
        <v>34</v>
      </c>
      <c r="O106" s="62">
        <v>2.5299999999999998</v>
      </c>
    </row>
    <row r="107" spans="1:15" x14ac:dyDescent="0.35">
      <c r="A107" s="62">
        <v>10063</v>
      </c>
      <c r="B107" s="62" t="s">
        <v>567</v>
      </c>
      <c r="C107" s="62" t="s">
        <v>74</v>
      </c>
      <c r="D107" s="62" t="s">
        <v>27</v>
      </c>
      <c r="E107" s="62">
        <v>4</v>
      </c>
      <c r="F107" s="62">
        <v>2.5</v>
      </c>
      <c r="G107" s="62">
        <v>2130</v>
      </c>
      <c r="H107" s="62">
        <v>9440</v>
      </c>
      <c r="I107" s="62">
        <v>1952</v>
      </c>
      <c r="J107" s="62">
        <v>0</v>
      </c>
      <c r="K107" s="62" t="s">
        <v>413</v>
      </c>
      <c r="L107" s="62">
        <v>386000</v>
      </c>
      <c r="M107" s="62">
        <v>390000</v>
      </c>
      <c r="N107" s="62">
        <v>60</v>
      </c>
      <c r="O107" s="62">
        <v>3.3</v>
      </c>
    </row>
    <row r="108" spans="1:15" x14ac:dyDescent="0.35">
      <c r="A108" s="62">
        <v>10022</v>
      </c>
      <c r="B108" s="62" t="s">
        <v>568</v>
      </c>
      <c r="C108" s="62" t="s">
        <v>76</v>
      </c>
      <c r="D108" s="62" t="s">
        <v>405</v>
      </c>
      <c r="E108" s="62">
        <v>3</v>
      </c>
      <c r="F108" s="62">
        <v>2.5</v>
      </c>
      <c r="G108" s="62">
        <v>1840</v>
      </c>
      <c r="H108" s="62">
        <v>7480</v>
      </c>
      <c r="I108" s="62">
        <v>2020</v>
      </c>
      <c r="J108" s="62">
        <v>2</v>
      </c>
      <c r="K108" s="62" t="s">
        <v>180</v>
      </c>
      <c r="L108" s="62">
        <v>495000</v>
      </c>
      <c r="M108" s="62">
        <v>514000</v>
      </c>
      <c r="N108" s="62">
        <v>93</v>
      </c>
      <c r="O108" s="62">
        <v>2.5</v>
      </c>
    </row>
    <row r="109" spans="1:15" x14ac:dyDescent="0.35">
      <c r="A109" s="62">
        <v>10145</v>
      </c>
      <c r="B109" s="62" t="s">
        <v>569</v>
      </c>
      <c r="C109" s="62" t="s">
        <v>74</v>
      </c>
      <c r="D109" s="62" t="s">
        <v>27</v>
      </c>
      <c r="E109" s="62">
        <v>4</v>
      </c>
      <c r="F109" s="62">
        <v>3.5</v>
      </c>
      <c r="G109" s="62">
        <v>2120</v>
      </c>
      <c r="H109" s="62">
        <v>5120</v>
      </c>
      <c r="I109" s="62">
        <v>2016</v>
      </c>
      <c r="J109" s="62">
        <v>2</v>
      </c>
      <c r="K109" s="62" t="s">
        <v>178</v>
      </c>
      <c r="L109" s="62">
        <v>455000</v>
      </c>
      <c r="M109" s="62">
        <v>444000</v>
      </c>
      <c r="N109" s="62">
        <v>46</v>
      </c>
      <c r="O109" s="62">
        <v>3.16</v>
      </c>
    </row>
    <row r="110" spans="1:15" x14ac:dyDescent="0.35">
      <c r="A110" s="62">
        <v>10196</v>
      </c>
      <c r="B110" s="62" t="s">
        <v>570</v>
      </c>
      <c r="C110" s="62" t="s">
        <v>75</v>
      </c>
      <c r="D110" s="62" t="s">
        <v>28</v>
      </c>
      <c r="E110" s="62">
        <v>2</v>
      </c>
      <c r="F110" s="62">
        <v>1</v>
      </c>
      <c r="G110" s="62">
        <v>1040</v>
      </c>
      <c r="H110" s="62">
        <v>2250</v>
      </c>
      <c r="I110" s="62">
        <v>2006</v>
      </c>
      <c r="J110" s="62">
        <v>2</v>
      </c>
      <c r="K110" s="62" t="s">
        <v>178</v>
      </c>
      <c r="L110" s="62">
        <v>347000</v>
      </c>
      <c r="M110" s="62">
        <v>332000</v>
      </c>
      <c r="N110" s="62">
        <v>50</v>
      </c>
      <c r="O110" s="62">
        <v>3.23</v>
      </c>
    </row>
    <row r="111" spans="1:15" x14ac:dyDescent="0.35">
      <c r="A111" s="62">
        <v>10075</v>
      </c>
      <c r="B111" s="62" t="s">
        <v>571</v>
      </c>
      <c r="C111" s="62" t="s">
        <v>75</v>
      </c>
      <c r="D111" s="62" t="s">
        <v>26</v>
      </c>
      <c r="E111" s="62">
        <v>2</v>
      </c>
      <c r="F111" s="62">
        <v>2</v>
      </c>
      <c r="G111" s="62">
        <v>1650</v>
      </c>
      <c r="H111" s="62">
        <v>0</v>
      </c>
      <c r="I111" s="62">
        <v>2020</v>
      </c>
      <c r="J111" s="62">
        <v>1</v>
      </c>
      <c r="K111" s="62" t="s">
        <v>180</v>
      </c>
      <c r="L111" s="62">
        <v>367000</v>
      </c>
      <c r="M111" s="62">
        <v>346000</v>
      </c>
      <c r="N111" s="62">
        <v>68</v>
      </c>
      <c r="O111" s="62">
        <v>2.99</v>
      </c>
    </row>
    <row r="112" spans="1:15" x14ac:dyDescent="0.35">
      <c r="A112" s="62">
        <v>10158</v>
      </c>
      <c r="B112" s="62" t="s">
        <v>572</v>
      </c>
      <c r="C112" s="62" t="s">
        <v>74</v>
      </c>
      <c r="D112" s="62" t="s">
        <v>26</v>
      </c>
      <c r="E112" s="62">
        <v>1</v>
      </c>
      <c r="F112" s="62">
        <v>1.5</v>
      </c>
      <c r="G112" s="62">
        <v>580</v>
      </c>
      <c r="H112" s="62">
        <v>0</v>
      </c>
      <c r="I112" s="62">
        <v>1984</v>
      </c>
      <c r="J112" s="62">
        <v>1</v>
      </c>
      <c r="K112" s="62" t="s">
        <v>178</v>
      </c>
      <c r="L112" s="62">
        <v>136000</v>
      </c>
      <c r="M112" s="62">
        <v>131000</v>
      </c>
      <c r="N112" s="62">
        <v>33</v>
      </c>
      <c r="O112" s="62">
        <v>3.28</v>
      </c>
    </row>
    <row r="113" spans="1:15" x14ac:dyDescent="0.35">
      <c r="A113" s="62">
        <v>10249</v>
      </c>
      <c r="B113" s="62" t="s">
        <v>573</v>
      </c>
      <c r="C113" s="62" t="s">
        <v>76</v>
      </c>
      <c r="D113" s="62" t="s">
        <v>27</v>
      </c>
      <c r="E113" s="62">
        <v>3</v>
      </c>
      <c r="F113" s="62">
        <v>2.5</v>
      </c>
      <c r="G113" s="62">
        <v>1910</v>
      </c>
      <c r="H113" s="62">
        <v>6780</v>
      </c>
      <c r="I113" s="62">
        <v>1949</v>
      </c>
      <c r="J113" s="62">
        <v>1</v>
      </c>
      <c r="K113" s="62" t="s">
        <v>179</v>
      </c>
      <c r="L113" s="62">
        <v>387000</v>
      </c>
      <c r="M113" s="62">
        <v>392000</v>
      </c>
      <c r="N113" s="62">
        <v>41</v>
      </c>
      <c r="O113" s="62">
        <v>2.95</v>
      </c>
    </row>
    <row r="114" spans="1:15" x14ac:dyDescent="0.35">
      <c r="A114" s="62">
        <v>10048</v>
      </c>
      <c r="B114" s="62" t="s">
        <v>574</v>
      </c>
      <c r="C114" s="62" t="s">
        <v>398</v>
      </c>
      <c r="D114" s="62" t="s">
        <v>28</v>
      </c>
      <c r="E114" s="62">
        <v>3</v>
      </c>
      <c r="F114" s="62">
        <v>3.5</v>
      </c>
      <c r="G114" s="62">
        <v>1730</v>
      </c>
      <c r="H114" s="62">
        <v>1950</v>
      </c>
      <c r="I114" s="62">
        <v>2003</v>
      </c>
      <c r="J114" s="62">
        <v>2</v>
      </c>
      <c r="K114" s="62" t="s">
        <v>179</v>
      </c>
      <c r="L114" s="62">
        <v>355000</v>
      </c>
      <c r="M114" s="62">
        <v>361000</v>
      </c>
      <c r="N114" s="62">
        <v>32</v>
      </c>
      <c r="O114" s="62"/>
    </row>
    <row r="115" spans="1:15" x14ac:dyDescent="0.35">
      <c r="A115" s="62">
        <v>10226</v>
      </c>
      <c r="B115" s="62" t="s">
        <v>575</v>
      </c>
      <c r="C115" s="62" t="s">
        <v>72</v>
      </c>
      <c r="D115" s="62" t="s">
        <v>27</v>
      </c>
      <c r="E115" s="62">
        <v>4</v>
      </c>
      <c r="F115" s="62">
        <v>4</v>
      </c>
      <c r="G115" s="62">
        <v>2280</v>
      </c>
      <c r="H115" s="62">
        <v>6790</v>
      </c>
      <c r="I115" s="62">
        <v>1935</v>
      </c>
      <c r="J115" s="62">
        <v>1</v>
      </c>
      <c r="K115" s="62" t="s">
        <v>178</v>
      </c>
      <c r="L115" s="62">
        <v>374000</v>
      </c>
      <c r="M115" s="62">
        <v>354000</v>
      </c>
      <c r="N115" s="62">
        <v>36</v>
      </c>
      <c r="O115" s="62">
        <v>3.26</v>
      </c>
    </row>
    <row r="116" spans="1:15" x14ac:dyDescent="0.35">
      <c r="A116" s="62">
        <v>10097</v>
      </c>
      <c r="B116" s="62" t="s">
        <v>576</v>
      </c>
      <c r="C116" s="62" t="s">
        <v>76</v>
      </c>
      <c r="D116" s="62" t="s">
        <v>26</v>
      </c>
      <c r="E116" s="62">
        <v>2</v>
      </c>
      <c r="F116" s="62">
        <v>2</v>
      </c>
      <c r="G116" s="62">
        <v>1190</v>
      </c>
      <c r="H116" s="62">
        <v>0</v>
      </c>
      <c r="I116" s="62"/>
      <c r="J116" s="62">
        <v>0</v>
      </c>
      <c r="K116" s="62" t="s">
        <v>180</v>
      </c>
      <c r="L116" s="62">
        <v>245000</v>
      </c>
      <c r="M116" s="62">
        <v>234000</v>
      </c>
      <c r="N116" s="62">
        <v>70</v>
      </c>
      <c r="O116" s="62">
        <v>3.2</v>
      </c>
    </row>
    <row r="117" spans="1:15" x14ac:dyDescent="0.35">
      <c r="A117" s="62">
        <v>10217</v>
      </c>
      <c r="B117" s="62" t="s">
        <v>577</v>
      </c>
      <c r="C117" s="62" t="s">
        <v>75</v>
      </c>
      <c r="D117" s="62" t="s">
        <v>28</v>
      </c>
      <c r="E117" s="62">
        <v>3</v>
      </c>
      <c r="F117" s="62">
        <v>2</v>
      </c>
      <c r="G117" s="62">
        <v>1910</v>
      </c>
      <c r="H117" s="62">
        <v>2580</v>
      </c>
      <c r="I117" s="62">
        <v>2013</v>
      </c>
      <c r="J117" s="62">
        <v>3</v>
      </c>
      <c r="K117" s="62" t="s">
        <v>179</v>
      </c>
      <c r="L117" s="62">
        <v>452000</v>
      </c>
      <c r="M117" s="62">
        <v>450000</v>
      </c>
      <c r="N117" s="62">
        <v>33</v>
      </c>
      <c r="O117" s="62">
        <v>3</v>
      </c>
    </row>
    <row r="118" spans="1:15" x14ac:dyDescent="0.35">
      <c r="A118" s="62">
        <v>10044</v>
      </c>
      <c r="B118" s="62" t="s">
        <v>577</v>
      </c>
      <c r="C118" s="62" t="s">
        <v>76</v>
      </c>
      <c r="D118" s="62" t="s">
        <v>403</v>
      </c>
      <c r="E118" s="62">
        <v>3</v>
      </c>
      <c r="F118" s="62">
        <v>2</v>
      </c>
      <c r="G118" s="62">
        <v>1800</v>
      </c>
      <c r="H118" s="62">
        <v>4570</v>
      </c>
      <c r="I118" s="62">
        <v>1977</v>
      </c>
      <c r="J118" s="62">
        <v>1</v>
      </c>
      <c r="K118" s="62" t="s">
        <v>180</v>
      </c>
      <c r="L118" s="62">
        <v>401000</v>
      </c>
      <c r="M118" s="62">
        <v>395000</v>
      </c>
      <c r="N118" s="62">
        <v>99</v>
      </c>
      <c r="O118" s="62">
        <v>3</v>
      </c>
    </row>
    <row r="119" spans="1:15" x14ac:dyDescent="0.35">
      <c r="A119" s="62">
        <v>10222</v>
      </c>
      <c r="B119" s="62" t="s">
        <v>578</v>
      </c>
      <c r="C119" s="62" t="s">
        <v>74</v>
      </c>
      <c r="D119" s="62" t="s">
        <v>27</v>
      </c>
      <c r="E119" s="62">
        <v>3</v>
      </c>
      <c r="F119" s="62">
        <v>2.5</v>
      </c>
      <c r="G119" s="62">
        <v>1570</v>
      </c>
      <c r="H119" s="62">
        <v>6000</v>
      </c>
      <c r="I119" s="62">
        <v>2012</v>
      </c>
      <c r="J119" s="62">
        <v>2</v>
      </c>
      <c r="K119" s="62" t="s">
        <v>178</v>
      </c>
      <c r="L119" s="62">
        <v>363000</v>
      </c>
      <c r="M119" s="62">
        <v>371000</v>
      </c>
      <c r="N119" s="62">
        <v>47</v>
      </c>
      <c r="O119" s="62">
        <v>2.94</v>
      </c>
    </row>
    <row r="120" spans="1:15" x14ac:dyDescent="0.35">
      <c r="A120" s="62">
        <v>10080</v>
      </c>
      <c r="B120" s="62" t="s">
        <v>579</v>
      </c>
      <c r="C120" s="62" t="s">
        <v>73</v>
      </c>
      <c r="D120" s="62" t="s">
        <v>26</v>
      </c>
      <c r="E120" s="62">
        <v>1</v>
      </c>
      <c r="F120" s="62">
        <v>1.5</v>
      </c>
      <c r="G120" s="62">
        <v>1140</v>
      </c>
      <c r="H120" s="62">
        <v>0</v>
      </c>
      <c r="I120" s="62">
        <v>1935</v>
      </c>
      <c r="J120" s="62">
        <v>1</v>
      </c>
      <c r="K120" s="62" t="s">
        <v>178</v>
      </c>
      <c r="L120" s="62">
        <v>368000</v>
      </c>
      <c r="M120" s="62">
        <v>364000</v>
      </c>
      <c r="N120" s="62">
        <v>42</v>
      </c>
      <c r="O120" s="62">
        <v>2.79</v>
      </c>
    </row>
    <row r="121" spans="1:15" x14ac:dyDescent="0.35">
      <c r="A121" s="62">
        <v>10227</v>
      </c>
      <c r="B121" s="62" t="s">
        <v>580</v>
      </c>
      <c r="C121" s="62" t="s">
        <v>75</v>
      </c>
      <c r="D121" s="62" t="s">
        <v>27</v>
      </c>
      <c r="E121" s="62">
        <v>3</v>
      </c>
      <c r="F121" s="62">
        <v>2.5</v>
      </c>
      <c r="G121" s="62">
        <v>1650</v>
      </c>
      <c r="H121" s="62">
        <v>6120</v>
      </c>
      <c r="I121" s="62"/>
      <c r="J121" s="62">
        <v>1</v>
      </c>
      <c r="K121" s="62" t="s">
        <v>411</v>
      </c>
      <c r="L121" s="62">
        <v>504000</v>
      </c>
      <c r="M121" s="62">
        <v>474000</v>
      </c>
      <c r="N121" s="62">
        <v>57</v>
      </c>
      <c r="O121" s="62">
        <v>2.78</v>
      </c>
    </row>
    <row r="122" spans="1:15" x14ac:dyDescent="0.35">
      <c r="A122" s="62">
        <v>10136</v>
      </c>
      <c r="B122" s="62" t="s">
        <v>580</v>
      </c>
      <c r="C122" s="62" t="s">
        <v>75</v>
      </c>
      <c r="D122" s="62" t="s">
        <v>26</v>
      </c>
      <c r="E122" s="62">
        <v>2</v>
      </c>
      <c r="F122" s="62">
        <v>1</v>
      </c>
      <c r="G122" s="62">
        <v>1390</v>
      </c>
      <c r="H122" s="62">
        <v>0</v>
      </c>
      <c r="I122" s="62">
        <v>2007</v>
      </c>
      <c r="J122" s="62">
        <v>0</v>
      </c>
      <c r="K122" s="62" t="s">
        <v>180</v>
      </c>
      <c r="L122" s="62">
        <v>322000</v>
      </c>
      <c r="M122" s="62">
        <v>308000</v>
      </c>
      <c r="N122" s="62">
        <v>52</v>
      </c>
      <c r="O122" s="62">
        <v>3.11</v>
      </c>
    </row>
    <row r="123" spans="1:15" x14ac:dyDescent="0.35">
      <c r="A123" s="62">
        <v>10201</v>
      </c>
      <c r="B123" s="62" t="s">
        <v>581</v>
      </c>
      <c r="C123" s="62" t="s">
        <v>73</v>
      </c>
      <c r="D123" s="62" t="s">
        <v>26</v>
      </c>
      <c r="E123" s="62">
        <v>2</v>
      </c>
      <c r="F123" s="62">
        <v>1.5</v>
      </c>
      <c r="G123" s="62">
        <v>1720</v>
      </c>
      <c r="H123" s="62">
        <v>0</v>
      </c>
      <c r="I123" s="62">
        <v>1990</v>
      </c>
      <c r="J123" s="62">
        <v>0</v>
      </c>
      <c r="K123" s="62" t="s">
        <v>180</v>
      </c>
      <c r="L123" s="62">
        <v>447000</v>
      </c>
      <c r="M123" s="62">
        <v>434000</v>
      </c>
      <c r="N123" s="62">
        <v>53</v>
      </c>
      <c r="O123" s="62">
        <v>3.22</v>
      </c>
    </row>
    <row r="124" spans="1:15" x14ac:dyDescent="0.35">
      <c r="A124" s="62">
        <v>10017</v>
      </c>
      <c r="B124" s="62" t="s">
        <v>582</v>
      </c>
      <c r="C124" s="62" t="s">
        <v>74</v>
      </c>
      <c r="D124" s="62" t="s">
        <v>27</v>
      </c>
      <c r="E124" s="62">
        <v>3</v>
      </c>
      <c r="F124" s="62">
        <v>2</v>
      </c>
      <c r="G124" s="62">
        <v>2100</v>
      </c>
      <c r="H124" s="62">
        <v>5140</v>
      </c>
      <c r="I124" s="62">
        <v>1997</v>
      </c>
      <c r="J124" s="62">
        <v>2</v>
      </c>
      <c r="K124" s="62" t="s">
        <v>178</v>
      </c>
      <c r="L124" s="62">
        <v>433000</v>
      </c>
      <c r="M124" s="62">
        <v>422000</v>
      </c>
      <c r="N124" s="62">
        <v>52</v>
      </c>
      <c r="O124" s="62">
        <v>3.27</v>
      </c>
    </row>
    <row r="125" spans="1:15" x14ac:dyDescent="0.35">
      <c r="A125" s="62">
        <v>10169</v>
      </c>
      <c r="B125" s="62" t="s">
        <v>583</v>
      </c>
      <c r="C125" s="62" t="s">
        <v>398</v>
      </c>
      <c r="D125" s="62" t="s">
        <v>27</v>
      </c>
      <c r="E125" s="62">
        <v>5</v>
      </c>
      <c r="F125" s="62">
        <v>4.5</v>
      </c>
      <c r="G125" s="62">
        <v>2660</v>
      </c>
      <c r="H125" s="62">
        <v>6780</v>
      </c>
      <c r="I125" s="62">
        <v>1990</v>
      </c>
      <c r="J125" s="62">
        <v>1</v>
      </c>
      <c r="K125" s="62" t="s">
        <v>179</v>
      </c>
      <c r="L125" s="62">
        <v>580000</v>
      </c>
      <c r="M125" s="62">
        <v>568000</v>
      </c>
      <c r="N125" s="62">
        <v>32</v>
      </c>
      <c r="O125" s="62">
        <v>2.4500000000000002</v>
      </c>
    </row>
    <row r="126" spans="1:15" x14ac:dyDescent="0.35">
      <c r="A126" s="62">
        <v>10115</v>
      </c>
      <c r="B126" s="62" t="s">
        <v>584</v>
      </c>
      <c r="C126" s="62" t="s">
        <v>75</v>
      </c>
      <c r="D126" s="62" t="s">
        <v>407</v>
      </c>
      <c r="E126" s="62">
        <v>4</v>
      </c>
      <c r="F126" s="62">
        <v>3</v>
      </c>
      <c r="G126" s="62">
        <v>1920</v>
      </c>
      <c r="H126" s="62">
        <v>2030</v>
      </c>
      <c r="I126" s="62">
        <v>2019</v>
      </c>
      <c r="J126" s="62"/>
      <c r="K126" s="62" t="s">
        <v>178</v>
      </c>
      <c r="L126" s="62">
        <v>526000</v>
      </c>
      <c r="M126" s="62">
        <v>525000</v>
      </c>
      <c r="N126" s="62">
        <v>47</v>
      </c>
      <c r="O126" s="62">
        <v>3</v>
      </c>
    </row>
    <row r="127" spans="1:15" x14ac:dyDescent="0.35">
      <c r="A127" s="62">
        <v>10187</v>
      </c>
      <c r="B127" s="62" t="s">
        <v>585</v>
      </c>
      <c r="C127" s="62" t="s">
        <v>76</v>
      </c>
      <c r="D127" s="62" t="s">
        <v>27</v>
      </c>
      <c r="E127" s="62">
        <v>3</v>
      </c>
      <c r="F127" s="62">
        <v>1.5</v>
      </c>
      <c r="G127" s="62">
        <v>1720</v>
      </c>
      <c r="H127" s="62">
        <v>6010</v>
      </c>
      <c r="I127" s="62">
        <v>1982</v>
      </c>
      <c r="J127" s="62">
        <v>0</v>
      </c>
      <c r="K127" s="62" t="s">
        <v>179</v>
      </c>
      <c r="L127" s="62">
        <v>376000</v>
      </c>
      <c r="M127" s="62">
        <v>355000</v>
      </c>
      <c r="N127" s="62">
        <v>41</v>
      </c>
      <c r="O127" s="62">
        <v>3.05</v>
      </c>
    </row>
    <row r="128" spans="1:15" x14ac:dyDescent="0.35">
      <c r="A128" s="62">
        <v>10206</v>
      </c>
      <c r="B128" s="62" t="s">
        <v>586</v>
      </c>
      <c r="C128" s="62" t="s">
        <v>398</v>
      </c>
      <c r="D128" s="62" t="s">
        <v>27</v>
      </c>
      <c r="E128" s="62">
        <v>3</v>
      </c>
      <c r="F128" s="62">
        <v>1</v>
      </c>
      <c r="G128" s="62">
        <v>1620</v>
      </c>
      <c r="H128" s="62">
        <v>7290</v>
      </c>
      <c r="I128" s="62">
        <v>2023</v>
      </c>
      <c r="J128" s="62">
        <v>2</v>
      </c>
      <c r="K128" s="62" t="s">
        <v>178</v>
      </c>
      <c r="L128" s="62">
        <v>423000</v>
      </c>
      <c r="M128" s="62">
        <v>435000</v>
      </c>
      <c r="N128" s="62">
        <v>59</v>
      </c>
      <c r="O128" s="62">
        <v>2.99</v>
      </c>
    </row>
    <row r="129" spans="1:15" x14ac:dyDescent="0.35">
      <c r="A129" s="62">
        <v>10012</v>
      </c>
      <c r="B129" s="62" t="s">
        <v>587</v>
      </c>
      <c r="C129" s="62" t="s">
        <v>72</v>
      </c>
      <c r="D129" s="62" t="s">
        <v>26</v>
      </c>
      <c r="E129" s="62">
        <v>1</v>
      </c>
      <c r="F129" s="62">
        <v>1</v>
      </c>
      <c r="G129" s="62">
        <v>1070</v>
      </c>
      <c r="H129" s="62">
        <v>0</v>
      </c>
      <c r="I129" s="62">
        <v>1958</v>
      </c>
      <c r="J129" s="62"/>
      <c r="K129" s="62"/>
      <c r="L129" s="62">
        <v>165000</v>
      </c>
      <c r="M129" s="62">
        <v>157000</v>
      </c>
      <c r="N129" s="62">
        <v>27</v>
      </c>
      <c r="O129" s="62"/>
    </row>
    <row r="130" spans="1:15" x14ac:dyDescent="0.35">
      <c r="A130" s="62">
        <v>10243</v>
      </c>
      <c r="B130" s="62" t="s">
        <v>588</v>
      </c>
      <c r="C130" s="62" t="s">
        <v>396</v>
      </c>
      <c r="D130" s="62" t="s">
        <v>28</v>
      </c>
      <c r="E130" s="62">
        <v>3</v>
      </c>
      <c r="F130" s="62">
        <v>1.5</v>
      </c>
      <c r="G130" s="62">
        <v>1760</v>
      </c>
      <c r="H130" s="62">
        <v>1540</v>
      </c>
      <c r="I130" s="62">
        <v>1963</v>
      </c>
      <c r="J130" s="62">
        <v>2</v>
      </c>
      <c r="K130" s="62" t="s">
        <v>178</v>
      </c>
      <c r="L130" s="62">
        <v>402000</v>
      </c>
      <c r="M130" s="62">
        <v>409000</v>
      </c>
      <c r="N130" s="62">
        <v>23</v>
      </c>
      <c r="O130" s="62">
        <v>3.26</v>
      </c>
    </row>
    <row r="131" spans="1:15" x14ac:dyDescent="0.35">
      <c r="A131" s="62">
        <v>10071</v>
      </c>
      <c r="B131" s="62" t="s">
        <v>588</v>
      </c>
      <c r="C131" s="62" t="s">
        <v>75</v>
      </c>
      <c r="D131" s="62" t="s">
        <v>26</v>
      </c>
      <c r="E131" s="62">
        <v>1</v>
      </c>
      <c r="F131" s="62">
        <v>1.5</v>
      </c>
      <c r="G131" s="62">
        <v>970</v>
      </c>
      <c r="H131" s="62">
        <v>0</v>
      </c>
      <c r="I131" s="62">
        <v>2001</v>
      </c>
      <c r="J131" s="62">
        <v>1</v>
      </c>
      <c r="K131" s="62" t="s">
        <v>179</v>
      </c>
      <c r="L131" s="62">
        <v>261000</v>
      </c>
      <c r="M131" s="62">
        <v>254000</v>
      </c>
      <c r="N131" s="62">
        <v>93</v>
      </c>
      <c r="O131" s="62">
        <v>3.25</v>
      </c>
    </row>
    <row r="132" spans="1:15" x14ac:dyDescent="0.35">
      <c r="A132" s="62">
        <v>10195</v>
      </c>
      <c r="B132" s="62" t="s">
        <v>588</v>
      </c>
      <c r="C132" s="62" t="s">
        <v>75</v>
      </c>
      <c r="D132" s="62" t="s">
        <v>27</v>
      </c>
      <c r="E132" s="62">
        <v>3</v>
      </c>
      <c r="F132" s="62">
        <v>3</v>
      </c>
      <c r="G132" s="62">
        <v>1700</v>
      </c>
      <c r="H132" s="62">
        <v>6330</v>
      </c>
      <c r="I132" s="62">
        <v>2017</v>
      </c>
      <c r="J132" s="62">
        <v>3</v>
      </c>
      <c r="K132" s="62" t="s">
        <v>179</v>
      </c>
      <c r="L132" s="62">
        <v>448000</v>
      </c>
      <c r="M132" s="62">
        <v>432000</v>
      </c>
      <c r="N132" s="62">
        <v>47</v>
      </c>
      <c r="O132" s="62">
        <v>3.02</v>
      </c>
    </row>
    <row r="133" spans="1:15" x14ac:dyDescent="0.35">
      <c r="A133" s="62">
        <v>10055</v>
      </c>
      <c r="B133" s="62" t="s">
        <v>589</v>
      </c>
      <c r="C133" s="62" t="s">
        <v>73</v>
      </c>
      <c r="D133" s="62" t="s">
        <v>26</v>
      </c>
      <c r="E133" s="62">
        <v>1</v>
      </c>
      <c r="F133" s="62">
        <v>1</v>
      </c>
      <c r="G133" s="62">
        <v>590</v>
      </c>
      <c r="H133" s="62">
        <v>0</v>
      </c>
      <c r="I133" s="62">
        <v>1941</v>
      </c>
      <c r="J133" s="62">
        <v>0</v>
      </c>
      <c r="K133" s="62" t="s">
        <v>179</v>
      </c>
      <c r="L133" s="62">
        <v>188000</v>
      </c>
      <c r="M133" s="62">
        <v>199000</v>
      </c>
      <c r="N133" s="62">
        <v>50</v>
      </c>
      <c r="O133" s="62">
        <v>3.18</v>
      </c>
    </row>
    <row r="134" spans="1:15" x14ac:dyDescent="0.35">
      <c r="A134" s="62">
        <v>10215</v>
      </c>
      <c r="B134" s="62" t="s">
        <v>590</v>
      </c>
      <c r="C134" s="62" t="s">
        <v>73</v>
      </c>
      <c r="D134" s="62" t="s">
        <v>27</v>
      </c>
      <c r="E134" s="62">
        <v>4</v>
      </c>
      <c r="F134" s="62">
        <v>3</v>
      </c>
      <c r="G134" s="62">
        <v>2130</v>
      </c>
      <c r="H134" s="62">
        <v>6230</v>
      </c>
      <c r="I134" s="62">
        <v>1996</v>
      </c>
      <c r="J134" s="62">
        <v>2</v>
      </c>
      <c r="K134" s="62" t="s">
        <v>179</v>
      </c>
      <c r="L134" s="62">
        <v>670000</v>
      </c>
      <c r="M134" s="62">
        <v>663000</v>
      </c>
      <c r="N134" s="62">
        <v>40</v>
      </c>
      <c r="O134" s="62">
        <v>3.27</v>
      </c>
    </row>
    <row r="135" spans="1:15" x14ac:dyDescent="0.35">
      <c r="A135" s="62">
        <v>10024</v>
      </c>
      <c r="B135" s="62" t="s">
        <v>591</v>
      </c>
      <c r="C135" s="62" t="s">
        <v>72</v>
      </c>
      <c r="D135" s="62" t="s">
        <v>27</v>
      </c>
      <c r="E135" s="62">
        <v>4</v>
      </c>
      <c r="F135" s="62">
        <v>2.5</v>
      </c>
      <c r="G135" s="62">
        <v>2230</v>
      </c>
      <c r="H135" s="62">
        <v>7630</v>
      </c>
      <c r="I135" s="62">
        <v>2015</v>
      </c>
      <c r="J135" s="62">
        <v>2</v>
      </c>
      <c r="K135" s="62" t="s">
        <v>410</v>
      </c>
      <c r="L135" s="62">
        <v>435000</v>
      </c>
      <c r="M135" s="62">
        <v>435000</v>
      </c>
      <c r="N135" s="62">
        <v>36</v>
      </c>
      <c r="O135" s="62">
        <v>2.73</v>
      </c>
    </row>
    <row r="136" spans="1:15" x14ac:dyDescent="0.35">
      <c r="A136" s="62">
        <v>10161</v>
      </c>
      <c r="B136" s="62" t="s">
        <v>592</v>
      </c>
      <c r="C136" s="62" t="s">
        <v>75</v>
      </c>
      <c r="D136" s="62" t="s">
        <v>28</v>
      </c>
      <c r="E136" s="62">
        <v>2</v>
      </c>
      <c r="F136" s="62">
        <v>2</v>
      </c>
      <c r="G136" s="62">
        <v>1410</v>
      </c>
      <c r="H136" s="62">
        <v>1370</v>
      </c>
      <c r="I136" s="62">
        <v>2013</v>
      </c>
      <c r="J136" s="62">
        <v>2</v>
      </c>
      <c r="K136" s="62" t="s">
        <v>179</v>
      </c>
      <c r="L136" s="62">
        <v>371000</v>
      </c>
      <c r="M136" s="62">
        <v>368000</v>
      </c>
      <c r="N136" s="62">
        <v>44</v>
      </c>
      <c r="O136" s="62">
        <v>3.07</v>
      </c>
    </row>
    <row r="137" spans="1:15" x14ac:dyDescent="0.35">
      <c r="A137" s="62">
        <v>10184</v>
      </c>
      <c r="B137" s="62" t="s">
        <v>593</v>
      </c>
      <c r="C137" s="62" t="s">
        <v>76</v>
      </c>
      <c r="D137" s="62" t="s">
        <v>26</v>
      </c>
      <c r="E137" s="62">
        <v>2</v>
      </c>
      <c r="F137" s="62">
        <v>1</v>
      </c>
      <c r="G137" s="62">
        <v>1420</v>
      </c>
      <c r="H137" s="62">
        <v>0</v>
      </c>
      <c r="I137" s="62">
        <v>1971</v>
      </c>
      <c r="J137" s="62">
        <v>0</v>
      </c>
      <c r="K137" s="62" t="s">
        <v>414</v>
      </c>
      <c r="L137" s="62">
        <v>275000</v>
      </c>
      <c r="M137" s="62">
        <v>259000</v>
      </c>
      <c r="N137" s="62"/>
      <c r="O137" s="62">
        <v>3.06</v>
      </c>
    </row>
    <row r="138" spans="1:15" x14ac:dyDescent="0.35">
      <c r="A138" s="62">
        <v>10053</v>
      </c>
      <c r="B138" s="62" t="s">
        <v>593</v>
      </c>
      <c r="C138" s="62" t="s">
        <v>73</v>
      </c>
      <c r="D138" s="62" t="s">
        <v>26</v>
      </c>
      <c r="E138" s="62">
        <v>3</v>
      </c>
      <c r="F138" s="62">
        <v>2</v>
      </c>
      <c r="G138" s="62">
        <v>1890</v>
      </c>
      <c r="H138" s="62">
        <v>0</v>
      </c>
      <c r="I138" s="62">
        <v>1971</v>
      </c>
      <c r="J138" s="62">
        <v>1</v>
      </c>
      <c r="K138" s="62" t="s">
        <v>178</v>
      </c>
      <c r="L138" s="62">
        <v>539000</v>
      </c>
      <c r="M138" s="62">
        <v>552000</v>
      </c>
      <c r="N138" s="62">
        <v>41</v>
      </c>
      <c r="O138" s="62">
        <v>2.95</v>
      </c>
    </row>
    <row r="139" spans="1:15" x14ac:dyDescent="0.35">
      <c r="A139" s="62">
        <v>10085</v>
      </c>
      <c r="B139" s="62" t="s">
        <v>594</v>
      </c>
      <c r="C139" s="62" t="s">
        <v>75</v>
      </c>
      <c r="D139" s="62" t="s">
        <v>403</v>
      </c>
      <c r="E139" s="62">
        <v>5</v>
      </c>
      <c r="F139" s="62">
        <v>3</v>
      </c>
      <c r="G139" s="62">
        <v>2830</v>
      </c>
      <c r="H139" s="62"/>
      <c r="I139" s="62">
        <v>1984</v>
      </c>
      <c r="J139" s="62">
        <v>1</v>
      </c>
      <c r="K139" s="62" t="s">
        <v>180</v>
      </c>
      <c r="L139" s="62">
        <v>644000</v>
      </c>
      <c r="M139" s="62">
        <v>637000</v>
      </c>
      <c r="N139" s="62">
        <v>69</v>
      </c>
      <c r="O139" s="62">
        <v>3.21</v>
      </c>
    </row>
    <row r="140" spans="1:15" x14ac:dyDescent="0.35">
      <c r="A140" s="62">
        <v>10246</v>
      </c>
      <c r="B140" s="62" t="s">
        <v>595</v>
      </c>
      <c r="C140" s="62" t="s">
        <v>72</v>
      </c>
      <c r="D140" s="62" t="s">
        <v>27</v>
      </c>
      <c r="E140" s="62">
        <v>4</v>
      </c>
      <c r="F140" s="62">
        <v>2.5</v>
      </c>
      <c r="G140" s="62">
        <v>2490</v>
      </c>
      <c r="H140" s="62">
        <v>8540</v>
      </c>
      <c r="I140" s="62"/>
      <c r="J140" s="62">
        <v>1</v>
      </c>
      <c r="K140" s="62" t="s">
        <v>180</v>
      </c>
      <c r="L140" s="62">
        <v>343000</v>
      </c>
      <c r="M140" s="62">
        <v>327000</v>
      </c>
      <c r="N140" s="62">
        <v>57</v>
      </c>
      <c r="O140" s="62">
        <v>2.85</v>
      </c>
    </row>
    <row r="141" spans="1:15" x14ac:dyDescent="0.35">
      <c r="A141" s="62">
        <v>10118</v>
      </c>
      <c r="B141" s="62" t="s">
        <v>595</v>
      </c>
      <c r="C141" s="62" t="s">
        <v>73</v>
      </c>
      <c r="D141" s="62" t="s">
        <v>400</v>
      </c>
      <c r="E141" s="62">
        <v>2</v>
      </c>
      <c r="F141" s="62">
        <v>2.5</v>
      </c>
      <c r="G141" s="62">
        <v>1480</v>
      </c>
      <c r="H141" s="62">
        <v>0</v>
      </c>
      <c r="I141" s="62">
        <v>1968</v>
      </c>
      <c r="J141" s="62">
        <v>0</v>
      </c>
      <c r="K141" s="62" t="s">
        <v>179</v>
      </c>
      <c r="L141" s="62">
        <v>385000</v>
      </c>
      <c r="M141" s="62">
        <v>395000</v>
      </c>
      <c r="N141" s="62">
        <v>48</v>
      </c>
      <c r="O141" s="62">
        <v>2.75</v>
      </c>
    </row>
    <row r="142" spans="1:15" x14ac:dyDescent="0.35">
      <c r="A142" s="62">
        <v>10137</v>
      </c>
      <c r="B142" s="62" t="s">
        <v>596</v>
      </c>
      <c r="C142" s="62" t="s">
        <v>72</v>
      </c>
      <c r="D142" s="62" t="s">
        <v>28</v>
      </c>
      <c r="E142" s="62">
        <v>3</v>
      </c>
      <c r="F142" s="62">
        <v>2.5</v>
      </c>
      <c r="G142" s="62">
        <v>1790</v>
      </c>
      <c r="H142" s="62">
        <v>2410</v>
      </c>
      <c r="I142" s="62">
        <v>2010</v>
      </c>
      <c r="J142" s="62">
        <v>2</v>
      </c>
      <c r="K142" s="62" t="s">
        <v>181</v>
      </c>
      <c r="L142" s="62">
        <v>281000</v>
      </c>
      <c r="M142" s="62">
        <v>274000</v>
      </c>
      <c r="N142" s="62">
        <v>101</v>
      </c>
      <c r="O142" s="62">
        <v>3.29</v>
      </c>
    </row>
    <row r="143" spans="1:15" x14ac:dyDescent="0.35">
      <c r="A143" s="62">
        <v>10191</v>
      </c>
      <c r="B143" s="62" t="s">
        <v>597</v>
      </c>
      <c r="C143" s="62" t="s">
        <v>72</v>
      </c>
      <c r="D143" s="62" t="s">
        <v>400</v>
      </c>
      <c r="E143" s="62">
        <v>1</v>
      </c>
      <c r="F143" s="62">
        <v>1</v>
      </c>
      <c r="G143" s="62">
        <v>790</v>
      </c>
      <c r="H143" s="62">
        <v>0</v>
      </c>
      <c r="I143" s="62">
        <v>1961</v>
      </c>
      <c r="J143" s="62">
        <v>0</v>
      </c>
      <c r="K143" s="62" t="s">
        <v>179</v>
      </c>
      <c r="L143" s="62">
        <v>170000</v>
      </c>
      <c r="M143" s="62">
        <v>146000</v>
      </c>
      <c r="N143" s="62">
        <v>412</v>
      </c>
      <c r="O143" s="62">
        <v>3.05</v>
      </c>
    </row>
    <row r="144" spans="1:15" x14ac:dyDescent="0.35">
      <c r="A144" s="62">
        <v>10092</v>
      </c>
      <c r="B144" s="62" t="s">
        <v>598</v>
      </c>
      <c r="C144" s="62" t="s">
        <v>73</v>
      </c>
      <c r="D144" s="62" t="s">
        <v>26</v>
      </c>
      <c r="E144" s="62">
        <v>2</v>
      </c>
      <c r="F144" s="62">
        <v>2</v>
      </c>
      <c r="G144" s="62">
        <v>1190</v>
      </c>
      <c r="H144" s="62">
        <v>0</v>
      </c>
      <c r="I144" s="62">
        <v>1950</v>
      </c>
      <c r="J144" s="62">
        <v>0</v>
      </c>
      <c r="K144" s="62" t="s">
        <v>178</v>
      </c>
      <c r="L144" s="62">
        <v>334000</v>
      </c>
      <c r="M144" s="62">
        <v>322000</v>
      </c>
      <c r="N144" s="62">
        <v>62</v>
      </c>
      <c r="O144" s="62">
        <v>3.07</v>
      </c>
    </row>
    <row r="145" spans="1:15" x14ac:dyDescent="0.35">
      <c r="A145" s="62">
        <v>10204</v>
      </c>
      <c r="B145" s="62" t="s">
        <v>599</v>
      </c>
      <c r="C145" s="62" t="s">
        <v>75</v>
      </c>
      <c r="D145" s="62" t="s">
        <v>27</v>
      </c>
      <c r="E145" s="62">
        <v>5</v>
      </c>
      <c r="F145" s="62">
        <v>2.5</v>
      </c>
      <c r="G145" s="62">
        <v>2910</v>
      </c>
      <c r="H145" s="62">
        <v>7450</v>
      </c>
      <c r="I145" s="62">
        <v>1961</v>
      </c>
      <c r="J145" s="62">
        <v>0</v>
      </c>
      <c r="K145" s="62" t="s">
        <v>179</v>
      </c>
      <c r="L145" s="62">
        <v>638000</v>
      </c>
      <c r="M145" s="62">
        <v>611000</v>
      </c>
      <c r="N145" s="62">
        <v>59</v>
      </c>
      <c r="O145" s="62">
        <v>2.77</v>
      </c>
    </row>
    <row r="146" spans="1:15" x14ac:dyDescent="0.35">
      <c r="A146" s="62">
        <v>10078</v>
      </c>
      <c r="B146" s="62" t="s">
        <v>599</v>
      </c>
      <c r="C146" s="62" t="s">
        <v>74</v>
      </c>
      <c r="D146" s="62" t="s">
        <v>27</v>
      </c>
      <c r="E146" s="62">
        <v>4</v>
      </c>
      <c r="F146" s="62">
        <v>2.5</v>
      </c>
      <c r="G146" s="62">
        <v>1880</v>
      </c>
      <c r="H146" s="62">
        <v>7080</v>
      </c>
      <c r="I146" s="62">
        <v>1949</v>
      </c>
      <c r="J146" s="62">
        <v>0</v>
      </c>
      <c r="K146" s="62" t="s">
        <v>179</v>
      </c>
      <c r="L146" s="62">
        <v>338000</v>
      </c>
      <c r="M146" s="62">
        <v>329000</v>
      </c>
      <c r="N146" s="62">
        <v>44</v>
      </c>
      <c r="O146" s="62">
        <v>2.99</v>
      </c>
    </row>
    <row r="147" spans="1:15" x14ac:dyDescent="0.35">
      <c r="A147" s="62">
        <v>10179</v>
      </c>
      <c r="B147" s="62" t="s">
        <v>600</v>
      </c>
      <c r="C147" s="62" t="s">
        <v>72</v>
      </c>
      <c r="D147" s="62" t="s">
        <v>27</v>
      </c>
      <c r="E147" s="62">
        <v>4</v>
      </c>
      <c r="F147" s="62">
        <v>2.5</v>
      </c>
      <c r="G147" s="62">
        <v>2170</v>
      </c>
      <c r="H147" s="62">
        <v>5480</v>
      </c>
      <c r="I147" s="62">
        <v>1998</v>
      </c>
      <c r="J147" s="62">
        <v>2</v>
      </c>
      <c r="K147" s="62" t="s">
        <v>179</v>
      </c>
      <c r="L147" s="62">
        <v>389000</v>
      </c>
      <c r="M147" s="62">
        <v>369000</v>
      </c>
      <c r="N147" s="62">
        <v>72</v>
      </c>
      <c r="O147" s="62">
        <v>2.97</v>
      </c>
    </row>
    <row r="148" spans="1:15" x14ac:dyDescent="0.35">
      <c r="A148" s="62">
        <v>10220</v>
      </c>
      <c r="B148" s="62" t="s">
        <v>601</v>
      </c>
      <c r="C148" s="62" t="s">
        <v>76</v>
      </c>
      <c r="D148" s="62" t="s">
        <v>27</v>
      </c>
      <c r="E148" s="62">
        <v>3</v>
      </c>
      <c r="F148" s="62">
        <v>3</v>
      </c>
      <c r="G148" s="62">
        <v>1690</v>
      </c>
      <c r="H148" s="62">
        <v>7210</v>
      </c>
      <c r="I148" s="62">
        <v>1961</v>
      </c>
      <c r="J148" s="62">
        <v>1</v>
      </c>
      <c r="K148" s="62" t="s">
        <v>178</v>
      </c>
      <c r="L148" s="62">
        <v>404000</v>
      </c>
      <c r="M148" s="62">
        <v>401000</v>
      </c>
      <c r="N148" s="62">
        <v>61</v>
      </c>
      <c r="O148" s="62">
        <v>3.07</v>
      </c>
    </row>
    <row r="149" spans="1:15" x14ac:dyDescent="0.35">
      <c r="A149" s="62">
        <v>10138</v>
      </c>
      <c r="B149" s="62" t="s">
        <v>602</v>
      </c>
      <c r="C149" s="62" t="s">
        <v>74</v>
      </c>
      <c r="D149" s="62" t="s">
        <v>26</v>
      </c>
      <c r="E149" s="62">
        <v>1</v>
      </c>
      <c r="F149" s="62">
        <v>1</v>
      </c>
      <c r="G149" s="62">
        <v>920</v>
      </c>
      <c r="H149" s="62">
        <v>0</v>
      </c>
      <c r="I149" s="62">
        <v>1998</v>
      </c>
      <c r="J149" s="62">
        <v>1</v>
      </c>
      <c r="K149" s="62" t="s">
        <v>178</v>
      </c>
      <c r="L149" s="62">
        <v>178000</v>
      </c>
      <c r="M149" s="62">
        <v>174000</v>
      </c>
      <c r="N149" s="62">
        <v>46</v>
      </c>
      <c r="O149" s="62">
        <v>3.25</v>
      </c>
    </row>
    <row r="150" spans="1:15" x14ac:dyDescent="0.35">
      <c r="A150" s="62">
        <v>10084</v>
      </c>
      <c r="B150" s="62" t="s">
        <v>603</v>
      </c>
      <c r="C150" s="62" t="s">
        <v>75</v>
      </c>
      <c r="D150" s="62" t="s">
        <v>402</v>
      </c>
      <c r="E150" s="62">
        <v>2</v>
      </c>
      <c r="F150" s="62">
        <v>1.5</v>
      </c>
      <c r="G150" s="62"/>
      <c r="H150" s="62">
        <v>0</v>
      </c>
      <c r="I150" s="62">
        <v>1988</v>
      </c>
      <c r="J150" s="62">
        <v>0</v>
      </c>
      <c r="K150" s="62" t="s">
        <v>179</v>
      </c>
      <c r="L150" s="62">
        <v>313000</v>
      </c>
      <c r="M150" s="62">
        <v>301000</v>
      </c>
      <c r="N150" s="62">
        <v>55</v>
      </c>
      <c r="O150" s="62">
        <v>2.99</v>
      </c>
    </row>
    <row r="151" spans="1:15" x14ac:dyDescent="0.35">
      <c r="A151" s="62">
        <v>10200</v>
      </c>
      <c r="B151" s="62" t="s">
        <v>604</v>
      </c>
      <c r="C151" s="62" t="s">
        <v>76</v>
      </c>
      <c r="D151" s="62" t="s">
        <v>27</v>
      </c>
      <c r="E151" s="62">
        <v>3</v>
      </c>
      <c r="F151" s="62">
        <v>2.5</v>
      </c>
      <c r="G151" s="62">
        <v>1760</v>
      </c>
      <c r="H151" s="62"/>
      <c r="I151" s="62">
        <v>2007</v>
      </c>
      <c r="J151" s="62"/>
      <c r="K151" s="62" t="s">
        <v>180</v>
      </c>
      <c r="L151" s="62">
        <v>458000</v>
      </c>
      <c r="M151" s="62">
        <v>444000</v>
      </c>
      <c r="N151" s="62">
        <v>116</v>
      </c>
      <c r="O151" s="62">
        <v>2.85</v>
      </c>
    </row>
    <row r="152" spans="1:15" x14ac:dyDescent="0.35">
      <c r="A152" s="62">
        <v>10007</v>
      </c>
      <c r="B152" s="62" t="s">
        <v>605</v>
      </c>
      <c r="C152" s="62" t="s">
        <v>386</v>
      </c>
      <c r="D152" s="62" t="s">
        <v>26</v>
      </c>
      <c r="E152" s="62">
        <v>1</v>
      </c>
      <c r="F152" s="62"/>
      <c r="G152" s="62">
        <v>660</v>
      </c>
      <c r="H152" s="62"/>
      <c r="I152" s="62">
        <v>1986</v>
      </c>
      <c r="J152" s="62">
        <v>1</v>
      </c>
      <c r="K152" s="62" t="s">
        <v>414</v>
      </c>
      <c r="L152" s="62">
        <v>200000</v>
      </c>
      <c r="M152" s="62">
        <v>189000</v>
      </c>
      <c r="N152" s="62">
        <v>47</v>
      </c>
      <c r="O152" s="62">
        <v>2.75</v>
      </c>
    </row>
    <row r="153" spans="1:15" x14ac:dyDescent="0.35">
      <c r="A153" s="62">
        <v>10040</v>
      </c>
      <c r="B153" s="62" t="s">
        <v>606</v>
      </c>
      <c r="C153" s="62" t="s">
        <v>390</v>
      </c>
      <c r="D153" s="62" t="s">
        <v>27</v>
      </c>
      <c r="E153" s="62">
        <v>4</v>
      </c>
      <c r="F153" s="62">
        <v>3.5</v>
      </c>
      <c r="G153" s="62">
        <v>1970</v>
      </c>
      <c r="H153" s="62"/>
      <c r="I153" s="62">
        <v>1994</v>
      </c>
      <c r="J153" s="62"/>
      <c r="K153" s="62" t="s">
        <v>179</v>
      </c>
      <c r="L153" s="62">
        <v>448000</v>
      </c>
      <c r="M153" s="62">
        <v>449000</v>
      </c>
      <c r="N153" s="62">
        <v>52</v>
      </c>
      <c r="O153" s="62">
        <v>2.74</v>
      </c>
    </row>
    <row r="154" spans="1:15" x14ac:dyDescent="0.35">
      <c r="A154" s="62">
        <v>10125</v>
      </c>
      <c r="B154" s="62" t="s">
        <v>607</v>
      </c>
      <c r="C154" s="62" t="s">
        <v>75</v>
      </c>
      <c r="D154" s="62" t="s">
        <v>403</v>
      </c>
      <c r="E154" s="62">
        <v>5</v>
      </c>
      <c r="F154" s="62">
        <v>4</v>
      </c>
      <c r="G154" s="62">
        <v>2580</v>
      </c>
      <c r="H154" s="62">
        <v>5830</v>
      </c>
      <c r="I154" s="62">
        <v>1969</v>
      </c>
      <c r="J154" s="62">
        <v>2</v>
      </c>
      <c r="K154" s="62" t="s">
        <v>180</v>
      </c>
      <c r="L154" s="62">
        <v>575000</v>
      </c>
      <c r="M154" s="62">
        <v>546000</v>
      </c>
      <c r="N154" s="62">
        <v>69</v>
      </c>
      <c r="O154" s="62"/>
    </row>
    <row r="155" spans="1:15" x14ac:dyDescent="0.35">
      <c r="A155" s="62">
        <v>10185</v>
      </c>
      <c r="B155" s="62" t="s">
        <v>608</v>
      </c>
      <c r="C155" s="62" t="s">
        <v>73</v>
      </c>
      <c r="D155" s="62" t="s">
        <v>27</v>
      </c>
      <c r="E155" s="62">
        <v>3</v>
      </c>
      <c r="F155" s="62">
        <v>2.5</v>
      </c>
      <c r="G155" s="62">
        <v>1490</v>
      </c>
      <c r="H155" s="62">
        <v>6460</v>
      </c>
      <c r="I155" s="62">
        <v>1993</v>
      </c>
      <c r="J155" s="62">
        <v>2</v>
      </c>
      <c r="K155" s="62" t="s">
        <v>179</v>
      </c>
      <c r="L155" s="62">
        <v>438000</v>
      </c>
      <c r="M155" s="62">
        <v>428000</v>
      </c>
      <c r="N155" s="62">
        <v>43</v>
      </c>
      <c r="O155" s="62">
        <v>2.79</v>
      </c>
    </row>
    <row r="156" spans="1:15" x14ac:dyDescent="0.35">
      <c r="A156" s="62">
        <v>10091</v>
      </c>
      <c r="B156" s="62" t="s">
        <v>609</v>
      </c>
      <c r="C156" s="62" t="s">
        <v>75</v>
      </c>
      <c r="D156" s="62" t="s">
        <v>27</v>
      </c>
      <c r="E156" s="62">
        <v>3</v>
      </c>
      <c r="F156" s="62">
        <v>2.5</v>
      </c>
      <c r="G156" s="62">
        <v>1470</v>
      </c>
      <c r="H156" s="62">
        <v>4390</v>
      </c>
      <c r="I156" s="62">
        <v>2020</v>
      </c>
      <c r="J156" s="62">
        <v>1</v>
      </c>
      <c r="K156" s="62" t="s">
        <v>178</v>
      </c>
      <c r="L156" s="62">
        <v>463000</v>
      </c>
      <c r="M156" s="62">
        <v>472000</v>
      </c>
      <c r="N156" s="62">
        <v>57</v>
      </c>
      <c r="O156" s="62">
        <v>2.97</v>
      </c>
    </row>
    <row r="157" spans="1:15" x14ac:dyDescent="0.35">
      <c r="A157" s="62">
        <v>10219</v>
      </c>
      <c r="B157" s="62" t="s">
        <v>610</v>
      </c>
      <c r="C157" s="62" t="s">
        <v>72</v>
      </c>
      <c r="D157" s="62" t="s">
        <v>405</v>
      </c>
      <c r="E157" s="62">
        <v>4</v>
      </c>
      <c r="F157" s="62">
        <v>3.5</v>
      </c>
      <c r="G157" s="62"/>
      <c r="H157" s="62">
        <v>5410</v>
      </c>
      <c r="I157" s="62">
        <v>1985</v>
      </c>
      <c r="J157" s="62">
        <v>1</v>
      </c>
      <c r="K157" s="62" t="s">
        <v>179</v>
      </c>
      <c r="L157" s="62">
        <v>350000</v>
      </c>
      <c r="M157" s="62">
        <v>338000</v>
      </c>
      <c r="N157" s="62">
        <v>66</v>
      </c>
      <c r="O157" s="62">
        <v>3.09</v>
      </c>
    </row>
    <row r="158" spans="1:15" x14ac:dyDescent="0.35">
      <c r="A158" s="62">
        <v>10213</v>
      </c>
      <c r="B158" s="62" t="s">
        <v>611</v>
      </c>
      <c r="C158" s="62" t="s">
        <v>392</v>
      </c>
      <c r="D158" s="62" t="s">
        <v>26</v>
      </c>
      <c r="E158" s="62">
        <v>1</v>
      </c>
      <c r="F158" s="62">
        <v>1</v>
      </c>
      <c r="G158" s="62">
        <v>900</v>
      </c>
      <c r="H158" s="62">
        <v>0</v>
      </c>
      <c r="I158" s="62">
        <v>2024</v>
      </c>
      <c r="J158" s="62">
        <v>0</v>
      </c>
      <c r="K158" s="62" t="s">
        <v>178</v>
      </c>
      <c r="L158" s="62">
        <v>275000</v>
      </c>
      <c r="M158" s="62">
        <v>284000</v>
      </c>
      <c r="N158" s="62">
        <v>53</v>
      </c>
      <c r="O158" s="62">
        <v>2.91</v>
      </c>
    </row>
    <row r="159" spans="1:15" x14ac:dyDescent="0.35">
      <c r="A159" s="62">
        <v>10157</v>
      </c>
      <c r="B159" s="62" t="s">
        <v>612</v>
      </c>
      <c r="C159" s="62" t="s">
        <v>76</v>
      </c>
      <c r="D159" s="62" t="s">
        <v>27</v>
      </c>
      <c r="E159" s="62">
        <v>5</v>
      </c>
      <c r="F159" s="62"/>
      <c r="G159" s="62">
        <v>3100</v>
      </c>
      <c r="H159" s="62">
        <v>8710</v>
      </c>
      <c r="I159" s="62">
        <v>1984</v>
      </c>
      <c r="J159" s="62">
        <v>0</v>
      </c>
      <c r="K159" s="62" t="s">
        <v>178</v>
      </c>
      <c r="L159" s="62">
        <v>654000</v>
      </c>
      <c r="M159" s="62">
        <v>619000</v>
      </c>
      <c r="N159" s="62">
        <v>18</v>
      </c>
      <c r="O159" s="62">
        <v>3.01</v>
      </c>
    </row>
    <row r="160" spans="1:15" x14ac:dyDescent="0.35">
      <c r="A160" s="62">
        <v>10188</v>
      </c>
      <c r="B160" s="62" t="s">
        <v>612</v>
      </c>
      <c r="C160" s="62" t="s">
        <v>75</v>
      </c>
      <c r="D160" s="62" t="s">
        <v>27</v>
      </c>
      <c r="E160" s="62">
        <v>4</v>
      </c>
      <c r="F160" s="62">
        <v>3.5</v>
      </c>
      <c r="G160" s="62">
        <v>2370</v>
      </c>
      <c r="H160" s="62">
        <v>9140</v>
      </c>
      <c r="I160" s="62">
        <v>2017</v>
      </c>
      <c r="J160" s="62">
        <v>2</v>
      </c>
      <c r="K160" s="62" t="s">
        <v>180</v>
      </c>
      <c r="L160" s="62">
        <v>547000</v>
      </c>
      <c r="M160" s="62">
        <v>521000</v>
      </c>
      <c r="N160" s="62">
        <v>97</v>
      </c>
      <c r="O160" s="62">
        <v>2.9</v>
      </c>
    </row>
    <row r="161" spans="1:15" x14ac:dyDescent="0.35">
      <c r="A161" s="62">
        <v>10159</v>
      </c>
      <c r="B161" s="62" t="s">
        <v>613</v>
      </c>
      <c r="C161" s="62" t="s">
        <v>73</v>
      </c>
      <c r="D161" s="62" t="s">
        <v>26</v>
      </c>
      <c r="E161" s="62">
        <v>1</v>
      </c>
      <c r="F161" s="62">
        <v>1</v>
      </c>
      <c r="G161" s="62">
        <v>940</v>
      </c>
      <c r="H161" s="62">
        <v>0</v>
      </c>
      <c r="I161" s="62">
        <v>1970</v>
      </c>
      <c r="J161" s="62">
        <v>1</v>
      </c>
      <c r="K161" s="62" t="s">
        <v>179</v>
      </c>
      <c r="L161" s="62">
        <v>276000</v>
      </c>
      <c r="M161" s="62">
        <v>278000</v>
      </c>
      <c r="N161" s="62">
        <v>34</v>
      </c>
      <c r="O161" s="62"/>
    </row>
    <row r="162" spans="1:15" x14ac:dyDescent="0.35">
      <c r="A162" s="62">
        <v>10103</v>
      </c>
      <c r="B162" s="62" t="s">
        <v>614</v>
      </c>
      <c r="C162" s="62" t="s">
        <v>76</v>
      </c>
      <c r="D162" s="62" t="s">
        <v>27</v>
      </c>
      <c r="E162" s="62">
        <v>3</v>
      </c>
      <c r="F162" s="62">
        <v>2.5</v>
      </c>
      <c r="G162" s="62">
        <v>1600</v>
      </c>
      <c r="H162" s="62">
        <v>7170</v>
      </c>
      <c r="I162" s="62">
        <v>1968</v>
      </c>
      <c r="J162" s="62">
        <v>1</v>
      </c>
      <c r="K162" s="62" t="s">
        <v>412</v>
      </c>
      <c r="L162" s="62">
        <v>338000</v>
      </c>
      <c r="M162" s="62">
        <v>317000</v>
      </c>
      <c r="N162" s="62">
        <v>66</v>
      </c>
      <c r="O162" s="62">
        <v>3.02</v>
      </c>
    </row>
    <row r="163" spans="1:15" x14ac:dyDescent="0.35">
      <c r="A163" s="62">
        <v>10122</v>
      </c>
      <c r="B163" s="62" t="s">
        <v>615</v>
      </c>
      <c r="C163" s="62"/>
      <c r="D163" s="62" t="s">
        <v>27</v>
      </c>
      <c r="E163" s="62">
        <v>5</v>
      </c>
      <c r="F163" s="62">
        <v>4</v>
      </c>
      <c r="G163" s="62">
        <v>2570</v>
      </c>
      <c r="H163" s="62">
        <v>7660</v>
      </c>
      <c r="I163" s="62">
        <v>1997</v>
      </c>
      <c r="J163" s="62"/>
      <c r="K163" s="62" t="s">
        <v>178</v>
      </c>
      <c r="L163" s="62">
        <v>535000</v>
      </c>
      <c r="M163" s="62">
        <v>528000</v>
      </c>
      <c r="N163" s="62">
        <v>57</v>
      </c>
      <c r="O163" s="62"/>
    </row>
    <row r="164" spans="1:15" x14ac:dyDescent="0.35">
      <c r="A164" s="62">
        <v>10221</v>
      </c>
      <c r="B164" s="62" t="s">
        <v>616</v>
      </c>
      <c r="C164" s="62" t="s">
        <v>76</v>
      </c>
      <c r="D164" s="62" t="s">
        <v>27</v>
      </c>
      <c r="E164" s="62">
        <v>5</v>
      </c>
      <c r="F164" s="62">
        <v>3</v>
      </c>
      <c r="G164" s="62"/>
      <c r="H164" s="62">
        <v>6510</v>
      </c>
      <c r="I164" s="62">
        <v>2009</v>
      </c>
      <c r="J164" s="62">
        <v>3</v>
      </c>
      <c r="K164" s="62" t="s">
        <v>178</v>
      </c>
      <c r="L164" s="62">
        <v>560000</v>
      </c>
      <c r="M164" s="62">
        <v>519000</v>
      </c>
      <c r="N164" s="62">
        <v>25</v>
      </c>
      <c r="O164" s="62">
        <v>2.54</v>
      </c>
    </row>
    <row r="165" spans="1:15" x14ac:dyDescent="0.35">
      <c r="A165" s="62">
        <v>10183</v>
      </c>
      <c r="B165" s="62" t="s">
        <v>617</v>
      </c>
      <c r="C165" s="62" t="s">
        <v>74</v>
      </c>
      <c r="D165" s="62" t="s">
        <v>28</v>
      </c>
      <c r="E165" s="62">
        <v>2</v>
      </c>
      <c r="F165" s="62">
        <v>1</v>
      </c>
      <c r="G165" s="62">
        <v>900</v>
      </c>
      <c r="H165" s="62">
        <v>2260</v>
      </c>
      <c r="I165" s="62">
        <v>2004</v>
      </c>
      <c r="J165" s="62">
        <v>3</v>
      </c>
      <c r="K165" s="62" t="s">
        <v>178</v>
      </c>
      <c r="L165" s="62">
        <v>237000</v>
      </c>
      <c r="M165" s="62">
        <v>230000</v>
      </c>
      <c r="N165" s="62">
        <v>84</v>
      </c>
      <c r="O165" s="62">
        <v>2.46</v>
      </c>
    </row>
    <row r="166" spans="1:15" x14ac:dyDescent="0.35">
      <c r="A166" s="62">
        <v>10101</v>
      </c>
      <c r="B166" s="62" t="s">
        <v>618</v>
      </c>
      <c r="C166" s="62" t="s">
        <v>384</v>
      </c>
      <c r="D166" s="62" t="s">
        <v>27</v>
      </c>
      <c r="E166" s="62">
        <v>4</v>
      </c>
      <c r="F166" s="62">
        <v>2</v>
      </c>
      <c r="G166" s="62">
        <v>2100</v>
      </c>
      <c r="H166" s="62">
        <v>8050</v>
      </c>
      <c r="I166" s="62">
        <v>1958</v>
      </c>
      <c r="J166" s="62">
        <v>1</v>
      </c>
      <c r="K166" s="62" t="s">
        <v>181</v>
      </c>
      <c r="L166" s="62">
        <v>312000</v>
      </c>
      <c r="M166" s="62">
        <v>315000</v>
      </c>
      <c r="N166" s="62">
        <v>60</v>
      </c>
      <c r="O166" s="62">
        <v>2.97</v>
      </c>
    </row>
    <row r="167" spans="1:15" x14ac:dyDescent="0.35">
      <c r="A167" s="62">
        <v>10037</v>
      </c>
      <c r="B167" s="62" t="s">
        <v>619</v>
      </c>
      <c r="C167" s="62" t="s">
        <v>75</v>
      </c>
      <c r="D167" s="62" t="s">
        <v>27</v>
      </c>
      <c r="E167" s="62">
        <v>3</v>
      </c>
      <c r="F167" s="62">
        <v>2</v>
      </c>
      <c r="G167" s="62">
        <v>1790</v>
      </c>
      <c r="H167" s="62">
        <v>7180</v>
      </c>
      <c r="I167" s="62">
        <v>1987</v>
      </c>
      <c r="J167" s="62">
        <v>1</v>
      </c>
      <c r="K167" s="62" t="s">
        <v>179</v>
      </c>
      <c r="L167" s="62">
        <v>485000</v>
      </c>
      <c r="M167" s="62">
        <v>493000</v>
      </c>
      <c r="N167" s="62"/>
      <c r="O167" s="62">
        <v>2.98</v>
      </c>
    </row>
    <row r="168" spans="1:15" x14ac:dyDescent="0.35">
      <c r="A168" s="62">
        <v>10032</v>
      </c>
      <c r="B168" s="62" t="s">
        <v>619</v>
      </c>
      <c r="C168" s="62" t="s">
        <v>384</v>
      </c>
      <c r="D168" s="62" t="s">
        <v>406</v>
      </c>
      <c r="E168" s="62">
        <v>3</v>
      </c>
      <c r="F168" s="62">
        <v>3</v>
      </c>
      <c r="G168" s="62">
        <v>1740</v>
      </c>
      <c r="H168" s="62">
        <v>7600</v>
      </c>
      <c r="I168" s="62">
        <v>2012</v>
      </c>
      <c r="J168" s="62">
        <v>2</v>
      </c>
      <c r="K168" s="62" t="s">
        <v>180</v>
      </c>
      <c r="L168" s="62">
        <v>299000</v>
      </c>
      <c r="M168" s="62">
        <v>294000</v>
      </c>
      <c r="N168" s="62">
        <v>73</v>
      </c>
      <c r="O168" s="62">
        <v>2.77</v>
      </c>
    </row>
    <row r="169" spans="1:15" x14ac:dyDescent="0.35">
      <c r="A169" s="62">
        <v>10096</v>
      </c>
      <c r="B169" s="62" t="s">
        <v>619</v>
      </c>
      <c r="C169" s="62" t="s">
        <v>389</v>
      </c>
      <c r="D169" s="62" t="s">
        <v>28</v>
      </c>
      <c r="E169" s="62">
        <v>3</v>
      </c>
      <c r="F169" s="62">
        <v>1.5</v>
      </c>
      <c r="G169" s="62">
        <v>1630</v>
      </c>
      <c r="H169" s="62">
        <v>1290</v>
      </c>
      <c r="I169" s="62"/>
      <c r="J169" s="62">
        <v>0</v>
      </c>
      <c r="K169" s="62" t="s">
        <v>412</v>
      </c>
      <c r="L169" s="62">
        <v>293000</v>
      </c>
      <c r="M169" s="62">
        <v>293000</v>
      </c>
      <c r="N169" s="62">
        <v>124</v>
      </c>
      <c r="O169" s="62">
        <v>3</v>
      </c>
    </row>
    <row r="170" spans="1:15" x14ac:dyDescent="0.35">
      <c r="A170" s="62">
        <v>10123</v>
      </c>
      <c r="B170" s="62" t="s">
        <v>619</v>
      </c>
      <c r="C170" s="62" t="s">
        <v>75</v>
      </c>
      <c r="D170" s="62" t="s">
        <v>27</v>
      </c>
      <c r="E170" s="62">
        <v>3</v>
      </c>
      <c r="F170" s="62">
        <v>2</v>
      </c>
      <c r="G170" s="62">
        <v>1830</v>
      </c>
      <c r="H170" s="62">
        <v>5410</v>
      </c>
      <c r="I170" s="62">
        <v>1979</v>
      </c>
      <c r="J170" s="62">
        <v>2</v>
      </c>
      <c r="K170" s="62" t="s">
        <v>179</v>
      </c>
      <c r="L170" s="62">
        <v>464000</v>
      </c>
      <c r="M170" s="62">
        <v>446000</v>
      </c>
      <c r="N170" s="62">
        <v>44</v>
      </c>
      <c r="O170" s="62">
        <v>3.22</v>
      </c>
    </row>
    <row r="171" spans="1:15" x14ac:dyDescent="0.35">
      <c r="A171" s="62">
        <v>10046</v>
      </c>
      <c r="B171" s="62" t="s">
        <v>620</v>
      </c>
      <c r="C171" s="62" t="s">
        <v>73</v>
      </c>
      <c r="D171" s="62" t="s">
        <v>26</v>
      </c>
      <c r="E171" s="62">
        <v>1</v>
      </c>
      <c r="F171" s="62">
        <v>1.5</v>
      </c>
      <c r="G171" s="62">
        <v>960</v>
      </c>
      <c r="H171" s="62"/>
      <c r="I171" s="62">
        <v>1995</v>
      </c>
      <c r="J171" s="62">
        <v>1</v>
      </c>
      <c r="K171" s="62"/>
      <c r="L171" s="62">
        <v>325000</v>
      </c>
      <c r="M171" s="62">
        <v>316000</v>
      </c>
      <c r="N171" s="62">
        <v>31</v>
      </c>
      <c r="O171" s="62">
        <v>2.4700000000000002</v>
      </c>
    </row>
    <row r="172" spans="1:15" x14ac:dyDescent="0.35">
      <c r="A172" s="62">
        <v>10139</v>
      </c>
      <c r="B172" s="62" t="s">
        <v>621</v>
      </c>
      <c r="C172" s="62" t="s">
        <v>73</v>
      </c>
      <c r="D172" s="62" t="s">
        <v>27</v>
      </c>
      <c r="E172" s="62">
        <v>5</v>
      </c>
      <c r="F172" s="62">
        <v>3.5</v>
      </c>
      <c r="G172" s="62">
        <v>2870</v>
      </c>
      <c r="H172" s="62"/>
      <c r="I172" s="62">
        <v>2017</v>
      </c>
      <c r="J172" s="62">
        <v>1</v>
      </c>
      <c r="K172" s="62" t="s">
        <v>412</v>
      </c>
      <c r="L172" s="62">
        <v>791000</v>
      </c>
      <c r="M172" s="62">
        <v>777000</v>
      </c>
      <c r="N172" s="62">
        <v>76</v>
      </c>
      <c r="O172" s="62">
        <v>2.73</v>
      </c>
    </row>
    <row r="173" spans="1:15" x14ac:dyDescent="0.35">
      <c r="A173" s="62">
        <v>10164</v>
      </c>
      <c r="B173" s="62" t="s">
        <v>622</v>
      </c>
      <c r="C173" s="62" t="s">
        <v>75</v>
      </c>
      <c r="D173" s="62" t="s">
        <v>26</v>
      </c>
      <c r="E173" s="62">
        <v>3</v>
      </c>
      <c r="F173" s="62">
        <v>2</v>
      </c>
      <c r="G173" s="62">
        <v>1940</v>
      </c>
      <c r="H173" s="62">
        <v>0</v>
      </c>
      <c r="I173" s="62">
        <v>1998</v>
      </c>
      <c r="J173" s="62">
        <v>0</v>
      </c>
      <c r="K173" s="62" t="s">
        <v>179</v>
      </c>
      <c r="L173" s="62">
        <v>536000</v>
      </c>
      <c r="M173" s="62">
        <v>503000</v>
      </c>
      <c r="N173" s="62">
        <v>55</v>
      </c>
      <c r="O173" s="62">
        <v>2.94</v>
      </c>
    </row>
    <row r="174" spans="1:15" x14ac:dyDescent="0.35">
      <c r="A174" s="62">
        <v>10079</v>
      </c>
      <c r="B174" s="62" t="s">
        <v>623</v>
      </c>
      <c r="C174" s="62" t="s">
        <v>74</v>
      </c>
      <c r="D174" s="62" t="s">
        <v>28</v>
      </c>
      <c r="E174" s="62">
        <v>3</v>
      </c>
      <c r="F174" s="62">
        <v>2.5</v>
      </c>
      <c r="G174" s="62">
        <v>1580</v>
      </c>
      <c r="H174" s="62">
        <v>1420</v>
      </c>
      <c r="I174" s="62">
        <v>1964</v>
      </c>
      <c r="J174" s="62">
        <v>1</v>
      </c>
      <c r="K174" s="62" t="s">
        <v>179</v>
      </c>
      <c r="L174" s="62">
        <v>267000</v>
      </c>
      <c r="M174" s="62">
        <v>262000</v>
      </c>
      <c r="N174" s="62">
        <v>54</v>
      </c>
      <c r="O174" s="62">
        <v>3</v>
      </c>
    </row>
    <row r="175" spans="1:15" x14ac:dyDescent="0.35">
      <c r="A175" s="62">
        <v>10203</v>
      </c>
      <c r="B175" s="62" t="s">
        <v>624</v>
      </c>
      <c r="C175" s="62" t="s">
        <v>391</v>
      </c>
      <c r="D175" s="62" t="s">
        <v>28</v>
      </c>
      <c r="E175" s="62">
        <v>3</v>
      </c>
      <c r="F175" s="62">
        <v>3</v>
      </c>
      <c r="G175" s="62">
        <v>1720</v>
      </c>
      <c r="H175" s="62">
        <v>1360</v>
      </c>
      <c r="I175" s="62">
        <v>1968</v>
      </c>
      <c r="J175" s="62">
        <v>2</v>
      </c>
      <c r="K175" s="62" t="s">
        <v>179</v>
      </c>
      <c r="L175" s="62">
        <v>314000</v>
      </c>
      <c r="M175" s="62">
        <v>292000</v>
      </c>
      <c r="N175" s="62">
        <v>36</v>
      </c>
      <c r="O175" s="62">
        <v>2.96</v>
      </c>
    </row>
    <row r="176" spans="1:15" x14ac:dyDescent="0.35">
      <c r="A176" s="62">
        <v>10119</v>
      </c>
      <c r="B176" s="62" t="s">
        <v>625</v>
      </c>
      <c r="C176" s="62" t="s">
        <v>76</v>
      </c>
      <c r="D176" s="62" t="s">
        <v>27</v>
      </c>
      <c r="E176" s="62">
        <v>3</v>
      </c>
      <c r="F176" s="62">
        <v>2</v>
      </c>
      <c r="G176" s="62">
        <v>1360</v>
      </c>
      <c r="H176" s="62"/>
      <c r="I176" s="62">
        <v>2021</v>
      </c>
      <c r="J176" s="62">
        <v>2</v>
      </c>
      <c r="K176" s="62" t="s">
        <v>178</v>
      </c>
      <c r="L176" s="62">
        <v>400000</v>
      </c>
      <c r="M176" s="62">
        <v>381000</v>
      </c>
      <c r="N176" s="62">
        <v>73</v>
      </c>
      <c r="O176" s="62">
        <v>3</v>
      </c>
    </row>
    <row r="177" spans="1:15" x14ac:dyDescent="0.35">
      <c r="A177" s="62">
        <v>10228</v>
      </c>
      <c r="B177" s="62" t="s">
        <v>626</v>
      </c>
      <c r="C177" s="62" t="s">
        <v>74</v>
      </c>
      <c r="D177" s="62" t="s">
        <v>27</v>
      </c>
      <c r="E177" s="62">
        <v>5</v>
      </c>
      <c r="F177" s="62">
        <v>3.5</v>
      </c>
      <c r="G177" s="62">
        <v>2640</v>
      </c>
      <c r="H177" s="62">
        <v>6380</v>
      </c>
      <c r="I177" s="62"/>
      <c r="J177" s="62">
        <v>2</v>
      </c>
      <c r="K177" s="62" t="s">
        <v>179</v>
      </c>
      <c r="L177" s="62">
        <v>444000</v>
      </c>
      <c r="M177" s="62">
        <v>436000</v>
      </c>
      <c r="N177" s="62">
        <v>39</v>
      </c>
      <c r="O177" s="62">
        <v>2.8</v>
      </c>
    </row>
    <row r="178" spans="1:15" x14ac:dyDescent="0.35">
      <c r="A178" s="62">
        <v>10130</v>
      </c>
      <c r="B178" s="62" t="s">
        <v>627</v>
      </c>
      <c r="C178" s="62" t="s">
        <v>74</v>
      </c>
      <c r="D178" s="62" t="s">
        <v>28</v>
      </c>
      <c r="E178" s="62">
        <v>4</v>
      </c>
      <c r="F178" s="62">
        <v>2.5</v>
      </c>
      <c r="G178" s="62">
        <v>2090</v>
      </c>
      <c r="H178" s="62">
        <v>1280</v>
      </c>
      <c r="I178" s="62">
        <v>1994</v>
      </c>
      <c r="J178" s="62">
        <v>2</v>
      </c>
      <c r="K178" s="62" t="s">
        <v>179</v>
      </c>
      <c r="L178" s="62">
        <v>355000</v>
      </c>
      <c r="M178" s="62">
        <v>339000</v>
      </c>
      <c r="N178" s="62"/>
      <c r="O178" s="62">
        <v>3.01</v>
      </c>
    </row>
    <row r="179" spans="1:15" x14ac:dyDescent="0.35">
      <c r="A179" s="62">
        <v>10102</v>
      </c>
      <c r="B179" s="62" t="s">
        <v>628</v>
      </c>
      <c r="C179" s="62" t="s">
        <v>73</v>
      </c>
      <c r="D179" s="62" t="s">
        <v>27</v>
      </c>
      <c r="E179" s="62">
        <v>4</v>
      </c>
      <c r="F179" s="62">
        <v>2</v>
      </c>
      <c r="G179" s="62">
        <v>2190</v>
      </c>
      <c r="H179" s="62">
        <v>8410</v>
      </c>
      <c r="I179" s="62">
        <v>2000</v>
      </c>
      <c r="J179" s="62">
        <v>2</v>
      </c>
      <c r="K179" s="62"/>
      <c r="L179" s="62">
        <v>658000</v>
      </c>
      <c r="M179" s="62">
        <v>638000</v>
      </c>
      <c r="N179" s="62">
        <v>101</v>
      </c>
      <c r="O179" s="62">
        <v>2.98</v>
      </c>
    </row>
    <row r="180" spans="1:15" x14ac:dyDescent="0.35">
      <c r="A180" s="62">
        <v>10005</v>
      </c>
      <c r="B180" s="62" t="s">
        <v>629</v>
      </c>
      <c r="C180" s="62" t="s">
        <v>75</v>
      </c>
      <c r="D180" s="62" t="s">
        <v>27</v>
      </c>
      <c r="E180" s="62">
        <v>3</v>
      </c>
      <c r="F180" s="62">
        <v>2</v>
      </c>
      <c r="G180" s="62">
        <v>1910</v>
      </c>
      <c r="H180" s="62">
        <v>7220</v>
      </c>
      <c r="I180" s="62">
        <v>2002</v>
      </c>
      <c r="J180" s="62">
        <v>2</v>
      </c>
      <c r="K180" s="62" t="s">
        <v>180</v>
      </c>
      <c r="L180" s="62">
        <v>484000</v>
      </c>
      <c r="M180" s="62">
        <v>473000</v>
      </c>
      <c r="N180" s="62">
        <v>55</v>
      </c>
      <c r="O180" s="62">
        <v>2.92</v>
      </c>
    </row>
    <row r="181" spans="1:15" x14ac:dyDescent="0.35">
      <c r="A181" s="62">
        <v>10009</v>
      </c>
      <c r="B181" s="62" t="s">
        <v>630</v>
      </c>
      <c r="C181" s="62" t="s">
        <v>392</v>
      </c>
      <c r="D181" s="62" t="s">
        <v>27</v>
      </c>
      <c r="E181" s="62">
        <v>4</v>
      </c>
      <c r="F181" s="62">
        <v>3.5</v>
      </c>
      <c r="G181" s="62">
        <v>1930</v>
      </c>
      <c r="H181" s="62"/>
      <c r="I181" s="62">
        <v>1952</v>
      </c>
      <c r="J181" s="62">
        <v>1</v>
      </c>
      <c r="K181" s="62" t="s">
        <v>178</v>
      </c>
      <c r="L181" s="62">
        <v>496000</v>
      </c>
      <c r="M181" s="62">
        <v>490000</v>
      </c>
      <c r="N181" s="62">
        <v>61</v>
      </c>
      <c r="O181" s="62">
        <v>2.77</v>
      </c>
    </row>
    <row r="182" spans="1:15" x14ac:dyDescent="0.35">
      <c r="A182" s="62">
        <v>10010</v>
      </c>
      <c r="B182" s="62" t="s">
        <v>631</v>
      </c>
      <c r="C182" s="62" t="s">
        <v>76</v>
      </c>
      <c r="D182" s="62" t="s">
        <v>27</v>
      </c>
      <c r="E182" s="62">
        <v>5</v>
      </c>
      <c r="F182" s="62">
        <v>3</v>
      </c>
      <c r="G182" s="62">
        <v>2300</v>
      </c>
      <c r="H182" s="62"/>
      <c r="I182" s="62">
        <v>1968</v>
      </c>
      <c r="J182" s="62">
        <v>1</v>
      </c>
      <c r="K182" s="62" t="s">
        <v>178</v>
      </c>
      <c r="L182" s="62">
        <v>527000</v>
      </c>
      <c r="M182" s="62">
        <v>519000</v>
      </c>
      <c r="N182" s="62">
        <v>42</v>
      </c>
      <c r="O182" s="62">
        <v>2.66</v>
      </c>
    </row>
    <row r="183" spans="1:15" x14ac:dyDescent="0.35">
      <c r="A183" s="62">
        <v>10241</v>
      </c>
      <c r="B183" s="62" t="s">
        <v>632</v>
      </c>
      <c r="C183" s="62" t="s">
        <v>72</v>
      </c>
      <c r="D183" s="62" t="s">
        <v>408</v>
      </c>
      <c r="E183" s="62">
        <v>4</v>
      </c>
      <c r="F183" s="62">
        <v>3</v>
      </c>
      <c r="G183" s="62">
        <v>1980</v>
      </c>
      <c r="H183" s="62">
        <v>2040</v>
      </c>
      <c r="I183" s="62">
        <v>2012</v>
      </c>
      <c r="J183" s="62"/>
      <c r="K183" s="62" t="s">
        <v>179</v>
      </c>
      <c r="L183" s="62">
        <v>326000</v>
      </c>
      <c r="M183" s="62">
        <v>317000</v>
      </c>
      <c r="N183" s="62">
        <v>60</v>
      </c>
      <c r="O183" s="62">
        <v>2.4700000000000002</v>
      </c>
    </row>
    <row r="184" spans="1:15" x14ac:dyDescent="0.35">
      <c r="A184" s="62">
        <v>10207</v>
      </c>
      <c r="B184" s="62" t="s">
        <v>633</v>
      </c>
      <c r="C184" s="62" t="s">
        <v>75</v>
      </c>
      <c r="D184" s="62" t="s">
        <v>26</v>
      </c>
      <c r="E184" s="62">
        <v>2</v>
      </c>
      <c r="F184" s="62">
        <v>1.5</v>
      </c>
      <c r="G184" s="62">
        <v>1350</v>
      </c>
      <c r="H184" s="62">
        <v>0</v>
      </c>
      <c r="I184" s="62">
        <v>1970</v>
      </c>
      <c r="J184" s="62">
        <v>1</v>
      </c>
      <c r="K184" s="62" t="s">
        <v>413</v>
      </c>
      <c r="L184" s="62">
        <v>312000</v>
      </c>
      <c r="M184" s="62">
        <v>312000</v>
      </c>
      <c r="N184" s="62">
        <v>53</v>
      </c>
      <c r="O184" s="62">
        <v>3.04</v>
      </c>
    </row>
    <row r="185" spans="1:15" x14ac:dyDescent="0.35">
      <c r="A185" s="62">
        <v>10050</v>
      </c>
      <c r="B185" s="62" t="s">
        <v>633</v>
      </c>
      <c r="C185" s="62" t="s">
        <v>392</v>
      </c>
      <c r="D185" s="62" t="s">
        <v>28</v>
      </c>
      <c r="E185" s="62">
        <v>2</v>
      </c>
      <c r="F185" s="62">
        <v>2</v>
      </c>
      <c r="G185" s="62">
        <v>1330</v>
      </c>
      <c r="H185" s="62">
        <v>1900</v>
      </c>
      <c r="I185" s="62">
        <v>1974</v>
      </c>
      <c r="J185" s="62">
        <v>1</v>
      </c>
      <c r="K185" s="62" t="s">
        <v>180</v>
      </c>
      <c r="L185" s="62">
        <v>305000</v>
      </c>
      <c r="M185" s="62">
        <v>302000</v>
      </c>
      <c r="N185" s="62">
        <v>66</v>
      </c>
      <c r="O185" s="62">
        <v>2.74</v>
      </c>
    </row>
    <row r="186" spans="1:15" x14ac:dyDescent="0.35">
      <c r="A186" s="62">
        <v>10077</v>
      </c>
      <c r="B186" s="62" t="s">
        <v>634</v>
      </c>
      <c r="C186" s="62" t="s">
        <v>395</v>
      </c>
      <c r="D186" s="62" t="s">
        <v>28</v>
      </c>
      <c r="E186" s="62">
        <v>3</v>
      </c>
      <c r="F186" s="62">
        <v>3</v>
      </c>
      <c r="G186" s="62">
        <v>1870</v>
      </c>
      <c r="H186" s="62">
        <v>1800</v>
      </c>
      <c r="I186" s="62"/>
      <c r="J186" s="62">
        <v>1</v>
      </c>
      <c r="K186" s="62" t="s">
        <v>178</v>
      </c>
      <c r="L186" s="62">
        <v>524000</v>
      </c>
      <c r="M186" s="62">
        <v>514000</v>
      </c>
      <c r="N186" s="62">
        <v>42</v>
      </c>
      <c r="O186" s="62">
        <v>2.74</v>
      </c>
    </row>
    <row r="187" spans="1:15" x14ac:dyDescent="0.35">
      <c r="A187" s="62">
        <v>10068</v>
      </c>
      <c r="B187" s="62" t="s">
        <v>635</v>
      </c>
      <c r="C187" s="62" t="s">
        <v>76</v>
      </c>
      <c r="D187" s="62" t="s">
        <v>408</v>
      </c>
      <c r="E187" s="62">
        <v>3</v>
      </c>
      <c r="F187" s="62">
        <v>2.5</v>
      </c>
      <c r="G187" s="62">
        <v>1710</v>
      </c>
      <c r="H187" s="62">
        <v>1850</v>
      </c>
      <c r="I187" s="62">
        <v>2010</v>
      </c>
      <c r="J187" s="62">
        <v>3</v>
      </c>
      <c r="K187" s="62" t="s">
        <v>180</v>
      </c>
      <c r="L187" s="62">
        <v>348000</v>
      </c>
      <c r="M187" s="62">
        <v>346000</v>
      </c>
      <c r="N187" s="62">
        <v>61</v>
      </c>
      <c r="O187" s="62">
        <v>3.33</v>
      </c>
    </row>
    <row r="188" spans="1:15" x14ac:dyDescent="0.35">
      <c r="A188" s="62">
        <v>10108</v>
      </c>
      <c r="B188" s="62" t="s">
        <v>635</v>
      </c>
      <c r="C188" s="62" t="s">
        <v>396</v>
      </c>
      <c r="D188" s="62" t="s">
        <v>28</v>
      </c>
      <c r="E188" s="62">
        <v>3</v>
      </c>
      <c r="F188" s="62">
        <v>3</v>
      </c>
      <c r="G188" s="62">
        <v>1770</v>
      </c>
      <c r="H188" s="62">
        <v>1960</v>
      </c>
      <c r="I188" s="62">
        <v>1992</v>
      </c>
      <c r="J188" s="62">
        <v>2</v>
      </c>
      <c r="K188" s="62" t="s">
        <v>179</v>
      </c>
      <c r="L188" s="62">
        <v>351000</v>
      </c>
      <c r="M188" s="62">
        <v>338000</v>
      </c>
      <c r="N188" s="62">
        <v>43</v>
      </c>
      <c r="O188" s="62">
        <v>3.11</v>
      </c>
    </row>
    <row r="189" spans="1:15" x14ac:dyDescent="0.35">
      <c r="A189" s="62">
        <v>10160</v>
      </c>
      <c r="B189" s="62" t="s">
        <v>636</v>
      </c>
      <c r="C189" s="62" t="s">
        <v>387</v>
      </c>
      <c r="D189" s="62" t="s">
        <v>26</v>
      </c>
      <c r="E189" s="62">
        <v>1</v>
      </c>
      <c r="F189" s="62">
        <v>1</v>
      </c>
      <c r="G189" s="62">
        <v>750</v>
      </c>
      <c r="H189" s="62">
        <v>0</v>
      </c>
      <c r="I189" s="62">
        <v>1991</v>
      </c>
      <c r="J189" s="62">
        <v>0</v>
      </c>
      <c r="K189" s="62" t="s">
        <v>412</v>
      </c>
      <c r="L189" s="62">
        <v>217000</v>
      </c>
      <c r="M189" s="62">
        <v>215000</v>
      </c>
      <c r="N189" s="62">
        <v>57</v>
      </c>
      <c r="O189" s="62">
        <v>2.78</v>
      </c>
    </row>
    <row r="190" spans="1:15" x14ac:dyDescent="0.35">
      <c r="A190" s="62">
        <v>10086</v>
      </c>
      <c r="B190" s="62" t="s">
        <v>637</v>
      </c>
      <c r="C190" s="62" t="s">
        <v>75</v>
      </c>
      <c r="D190" s="62" t="s">
        <v>27</v>
      </c>
      <c r="E190" s="62">
        <v>4</v>
      </c>
      <c r="F190" s="62">
        <v>3</v>
      </c>
      <c r="G190" s="62">
        <v>2130</v>
      </c>
      <c r="H190" s="62">
        <v>6460</v>
      </c>
      <c r="I190" s="62">
        <v>2011</v>
      </c>
      <c r="J190" s="62">
        <v>3</v>
      </c>
      <c r="K190" s="62" t="s">
        <v>178</v>
      </c>
      <c r="L190" s="62">
        <v>698000</v>
      </c>
      <c r="M190" s="62">
        <v>642000</v>
      </c>
      <c r="N190" s="62">
        <v>81</v>
      </c>
      <c r="O190" s="62">
        <v>3.03</v>
      </c>
    </row>
    <row r="191" spans="1:15" x14ac:dyDescent="0.35">
      <c r="A191" s="62">
        <v>10107</v>
      </c>
      <c r="B191" s="62" t="s">
        <v>638</v>
      </c>
      <c r="C191" s="62" t="s">
        <v>76</v>
      </c>
      <c r="D191" s="62" t="s">
        <v>28</v>
      </c>
      <c r="E191" s="62">
        <v>2</v>
      </c>
      <c r="F191" s="62"/>
      <c r="G191" s="62">
        <v>1110</v>
      </c>
      <c r="H191" s="62">
        <v>1280</v>
      </c>
      <c r="I191" s="62">
        <v>2014</v>
      </c>
      <c r="J191" s="62">
        <v>2</v>
      </c>
      <c r="K191" s="62" t="s">
        <v>179</v>
      </c>
      <c r="L191" s="62">
        <v>278000</v>
      </c>
      <c r="M191" s="62">
        <v>274000</v>
      </c>
      <c r="N191" s="62">
        <v>33</v>
      </c>
      <c r="O191" s="62">
        <v>3.24</v>
      </c>
    </row>
    <row r="192" spans="1:15" x14ac:dyDescent="0.35">
      <c r="A192" s="62">
        <v>10141</v>
      </c>
      <c r="B192" s="62" t="s">
        <v>639</v>
      </c>
      <c r="C192" s="62" t="s">
        <v>74</v>
      </c>
      <c r="D192" s="62" t="s">
        <v>28</v>
      </c>
      <c r="E192" s="62">
        <v>3</v>
      </c>
      <c r="F192" s="62">
        <v>2</v>
      </c>
      <c r="G192" s="62">
        <v>1730</v>
      </c>
      <c r="H192" s="62">
        <v>2790</v>
      </c>
      <c r="I192" s="62">
        <v>2018</v>
      </c>
      <c r="J192" s="62">
        <v>2</v>
      </c>
      <c r="K192" s="62" t="s">
        <v>179</v>
      </c>
      <c r="L192" s="62">
        <v>349000</v>
      </c>
      <c r="M192" s="62">
        <v>344000</v>
      </c>
      <c r="N192" s="62">
        <v>53</v>
      </c>
      <c r="O192" s="62">
        <v>3.1</v>
      </c>
    </row>
    <row r="193" spans="1:15" x14ac:dyDescent="0.35">
      <c r="A193" s="62">
        <v>10059</v>
      </c>
      <c r="B193" s="62" t="s">
        <v>640</v>
      </c>
      <c r="C193" s="62" t="s">
        <v>75</v>
      </c>
      <c r="D193" s="62" t="s">
        <v>27</v>
      </c>
      <c r="E193" s="62">
        <v>2</v>
      </c>
      <c r="F193" s="62">
        <v>1.5</v>
      </c>
      <c r="G193" s="62">
        <v>1260</v>
      </c>
      <c r="H193" s="62">
        <v>3030</v>
      </c>
      <c r="I193" s="62">
        <v>1993</v>
      </c>
      <c r="J193" s="62">
        <v>3</v>
      </c>
      <c r="K193" s="62" t="s">
        <v>412</v>
      </c>
      <c r="L193" s="62">
        <v>347000</v>
      </c>
      <c r="M193" s="62">
        <v>342000</v>
      </c>
      <c r="N193" s="62">
        <v>76</v>
      </c>
      <c r="O193" s="62">
        <v>2.93</v>
      </c>
    </row>
    <row r="194" spans="1:15" x14ac:dyDescent="0.35">
      <c r="A194" s="62">
        <v>10025</v>
      </c>
      <c r="B194" s="62" t="s">
        <v>641</v>
      </c>
      <c r="C194" s="62" t="s">
        <v>73</v>
      </c>
      <c r="D194" s="62" t="s">
        <v>26</v>
      </c>
      <c r="E194" s="62">
        <v>1</v>
      </c>
      <c r="F194" s="62">
        <v>1</v>
      </c>
      <c r="G194" s="62">
        <v>1010</v>
      </c>
      <c r="H194" s="62"/>
      <c r="I194" s="62">
        <v>2002</v>
      </c>
      <c r="J194" s="62">
        <v>0</v>
      </c>
      <c r="K194" s="62" t="s">
        <v>179</v>
      </c>
      <c r="L194" s="62">
        <v>267000</v>
      </c>
      <c r="M194" s="62">
        <v>265000</v>
      </c>
      <c r="N194" s="62">
        <v>41</v>
      </c>
      <c r="O194" s="62">
        <v>3</v>
      </c>
    </row>
    <row r="195" spans="1:15" x14ac:dyDescent="0.35">
      <c r="A195" s="62">
        <v>10004</v>
      </c>
      <c r="B195" s="62" t="s">
        <v>642</v>
      </c>
      <c r="C195" s="62" t="s">
        <v>73</v>
      </c>
      <c r="D195" s="62" t="s">
        <v>26</v>
      </c>
      <c r="E195" s="62">
        <v>2</v>
      </c>
      <c r="F195" s="62">
        <v>1.5</v>
      </c>
      <c r="G195" s="62">
        <v>1390</v>
      </c>
      <c r="H195" s="62">
        <v>0</v>
      </c>
      <c r="I195" s="62">
        <v>1995</v>
      </c>
      <c r="J195" s="62">
        <v>1</v>
      </c>
      <c r="K195" s="62" t="s">
        <v>413</v>
      </c>
      <c r="L195" s="62">
        <v>422000</v>
      </c>
      <c r="M195" s="62">
        <v>419000</v>
      </c>
      <c r="N195" s="62">
        <v>34</v>
      </c>
      <c r="O195" s="62">
        <v>2.46</v>
      </c>
    </row>
    <row r="196" spans="1:15" x14ac:dyDescent="0.35">
      <c r="A196" s="62">
        <v>10153</v>
      </c>
      <c r="B196" s="62" t="s">
        <v>642</v>
      </c>
      <c r="C196" s="62" t="s">
        <v>75</v>
      </c>
      <c r="D196" s="62" t="s">
        <v>28</v>
      </c>
      <c r="E196" s="62">
        <v>2</v>
      </c>
      <c r="F196" s="62">
        <v>2.5</v>
      </c>
      <c r="G196" s="62">
        <v>1300</v>
      </c>
      <c r="H196" s="62">
        <v>1680</v>
      </c>
      <c r="I196" s="62">
        <v>1997</v>
      </c>
      <c r="J196" s="62">
        <v>1</v>
      </c>
      <c r="K196" s="62" t="s">
        <v>413</v>
      </c>
      <c r="L196" s="62">
        <v>351000</v>
      </c>
      <c r="M196" s="62">
        <v>335000</v>
      </c>
      <c r="N196" s="62">
        <v>58</v>
      </c>
      <c r="O196" s="62">
        <v>3.03</v>
      </c>
    </row>
    <row r="197" spans="1:15" x14ac:dyDescent="0.35">
      <c r="A197" s="62">
        <v>10127</v>
      </c>
      <c r="B197" s="62" t="s">
        <v>643</v>
      </c>
      <c r="C197" s="62" t="s">
        <v>76</v>
      </c>
      <c r="D197" s="62" t="s">
        <v>26</v>
      </c>
      <c r="E197" s="62">
        <v>2</v>
      </c>
      <c r="F197" s="62">
        <v>2</v>
      </c>
      <c r="G197" s="62">
        <v>910</v>
      </c>
      <c r="H197" s="62">
        <v>0</v>
      </c>
      <c r="I197" s="62">
        <v>1992</v>
      </c>
      <c r="J197" s="62">
        <v>0</v>
      </c>
      <c r="K197" s="62" t="s">
        <v>178</v>
      </c>
      <c r="L197" s="62">
        <v>199000</v>
      </c>
      <c r="M197" s="62">
        <v>194000</v>
      </c>
      <c r="N197" s="62">
        <v>29</v>
      </c>
      <c r="O197" s="62">
        <v>2.5</v>
      </c>
    </row>
    <row r="198" spans="1:15" x14ac:dyDescent="0.35">
      <c r="A198" s="62">
        <v>10026</v>
      </c>
      <c r="B198" s="62" t="s">
        <v>643</v>
      </c>
      <c r="C198" s="62" t="s">
        <v>75</v>
      </c>
      <c r="D198" s="62" t="s">
        <v>404</v>
      </c>
      <c r="E198" s="62">
        <v>3</v>
      </c>
      <c r="F198" s="62">
        <v>3</v>
      </c>
      <c r="G198" s="62">
        <v>1600</v>
      </c>
      <c r="H198" s="62">
        <v>3600</v>
      </c>
      <c r="I198" s="62">
        <v>2001</v>
      </c>
      <c r="J198" s="62">
        <v>2</v>
      </c>
      <c r="K198" s="62" t="s">
        <v>181</v>
      </c>
      <c r="L198" s="62">
        <v>347000</v>
      </c>
      <c r="M198" s="62">
        <v>328000</v>
      </c>
      <c r="N198" s="62"/>
      <c r="O198" s="62">
        <v>3</v>
      </c>
    </row>
    <row r="199" spans="1:15" x14ac:dyDescent="0.35">
      <c r="A199" s="62">
        <v>10198</v>
      </c>
      <c r="B199" s="62" t="s">
        <v>643</v>
      </c>
      <c r="C199" s="62" t="s">
        <v>72</v>
      </c>
      <c r="D199" s="62" t="s">
        <v>27</v>
      </c>
      <c r="E199" s="62">
        <v>4</v>
      </c>
      <c r="F199" s="62">
        <v>3.5</v>
      </c>
      <c r="G199" s="62">
        <v>1870</v>
      </c>
      <c r="H199" s="62">
        <v>7960</v>
      </c>
      <c r="I199" s="62">
        <v>1983</v>
      </c>
      <c r="J199" s="62">
        <v>0</v>
      </c>
      <c r="K199" s="62" t="s">
        <v>179</v>
      </c>
      <c r="L199" s="62">
        <v>305000</v>
      </c>
      <c r="M199" s="62">
        <v>306000</v>
      </c>
      <c r="N199" s="62">
        <v>37</v>
      </c>
      <c r="O199" s="62">
        <v>3.17</v>
      </c>
    </row>
    <row r="200" spans="1:15" x14ac:dyDescent="0.35">
      <c r="A200" s="62">
        <v>10114</v>
      </c>
      <c r="B200" s="62" t="s">
        <v>644</v>
      </c>
      <c r="C200" s="62" t="s">
        <v>74</v>
      </c>
      <c r="D200" s="62" t="s">
        <v>27</v>
      </c>
      <c r="E200" s="62">
        <v>2</v>
      </c>
      <c r="F200" s="62">
        <v>2</v>
      </c>
      <c r="G200" s="62">
        <v>1310</v>
      </c>
      <c r="H200" s="62">
        <v>3210</v>
      </c>
      <c r="I200" s="62">
        <v>2014</v>
      </c>
      <c r="J200" s="62">
        <v>2</v>
      </c>
      <c r="K200" s="62" t="s">
        <v>414</v>
      </c>
      <c r="L200" s="62">
        <v>260000</v>
      </c>
      <c r="M200" s="62">
        <v>234000</v>
      </c>
      <c r="N200" s="62">
        <v>31</v>
      </c>
      <c r="O200" s="62">
        <v>2.96</v>
      </c>
    </row>
    <row r="201" spans="1:15" x14ac:dyDescent="0.35">
      <c r="A201" s="62">
        <v>10112</v>
      </c>
      <c r="B201" s="62" t="s">
        <v>645</v>
      </c>
      <c r="C201" s="62" t="s">
        <v>75</v>
      </c>
      <c r="D201" s="62" t="s">
        <v>406</v>
      </c>
      <c r="E201" s="62">
        <v>3</v>
      </c>
      <c r="F201" s="62">
        <v>3</v>
      </c>
      <c r="G201" s="62">
        <v>1700</v>
      </c>
      <c r="H201" s="62">
        <v>4770</v>
      </c>
      <c r="I201" s="62">
        <v>1964</v>
      </c>
      <c r="J201" s="62">
        <v>1</v>
      </c>
      <c r="K201" s="62" t="s">
        <v>414</v>
      </c>
      <c r="L201" s="62">
        <v>388000</v>
      </c>
      <c r="M201" s="62">
        <v>367000</v>
      </c>
      <c r="N201" s="62">
        <v>39</v>
      </c>
      <c r="O201" s="62">
        <v>3.01</v>
      </c>
    </row>
    <row r="202" spans="1:15" x14ac:dyDescent="0.35">
      <c r="A202" s="62">
        <v>10240</v>
      </c>
      <c r="B202" s="62" t="s">
        <v>646</v>
      </c>
      <c r="C202" s="62" t="s">
        <v>75</v>
      </c>
      <c r="D202" s="62" t="s">
        <v>27</v>
      </c>
      <c r="E202" s="62">
        <v>3</v>
      </c>
      <c r="F202" s="62">
        <v>3.5</v>
      </c>
      <c r="G202" s="62">
        <v>1770</v>
      </c>
      <c r="H202" s="62">
        <v>5470</v>
      </c>
      <c r="I202" s="62">
        <v>1981</v>
      </c>
      <c r="J202" s="62">
        <v>0</v>
      </c>
      <c r="K202" s="62" t="s">
        <v>180</v>
      </c>
      <c r="L202" s="62">
        <v>414000</v>
      </c>
      <c r="M202" s="62">
        <v>407000</v>
      </c>
      <c r="N202" s="62">
        <v>91</v>
      </c>
      <c r="O202" s="62">
        <v>3.03</v>
      </c>
    </row>
    <row r="203" spans="1:15" x14ac:dyDescent="0.35">
      <c r="A203" s="62">
        <v>10045</v>
      </c>
      <c r="B203" s="62" t="s">
        <v>646</v>
      </c>
      <c r="C203" s="62" t="s">
        <v>72</v>
      </c>
      <c r="D203" s="62" t="s">
        <v>26</v>
      </c>
      <c r="E203" s="62">
        <v>1</v>
      </c>
      <c r="F203" s="62">
        <v>1.5</v>
      </c>
      <c r="G203" s="62">
        <v>840</v>
      </c>
      <c r="H203" s="62">
        <v>0</v>
      </c>
      <c r="I203" s="62">
        <v>1974</v>
      </c>
      <c r="J203" s="62">
        <v>1</v>
      </c>
      <c r="K203" s="62" t="s">
        <v>178</v>
      </c>
      <c r="L203" s="62">
        <v>165000</v>
      </c>
      <c r="M203" s="62">
        <v>164000</v>
      </c>
      <c r="N203" s="62">
        <v>78</v>
      </c>
      <c r="O203" s="62">
        <v>3.04</v>
      </c>
    </row>
    <row r="204" spans="1:15" x14ac:dyDescent="0.35">
      <c r="A204" s="62">
        <v>10064</v>
      </c>
      <c r="B204" s="62" t="s">
        <v>647</v>
      </c>
      <c r="C204" s="62" t="s">
        <v>73</v>
      </c>
      <c r="D204" s="62" t="s">
        <v>27</v>
      </c>
      <c r="E204" s="62">
        <v>2</v>
      </c>
      <c r="F204" s="62">
        <v>2.5</v>
      </c>
      <c r="G204" s="62">
        <v>1280</v>
      </c>
      <c r="H204" s="62">
        <v>3580</v>
      </c>
      <c r="I204" s="62">
        <v>2003</v>
      </c>
      <c r="J204" s="62">
        <v>2</v>
      </c>
      <c r="K204" s="62" t="s">
        <v>178</v>
      </c>
      <c r="L204" s="62">
        <v>478000</v>
      </c>
      <c r="M204" s="62">
        <v>476000</v>
      </c>
      <c r="N204" s="62">
        <v>45</v>
      </c>
      <c r="O204" s="62">
        <v>2.87</v>
      </c>
    </row>
    <row r="205" spans="1:15" x14ac:dyDescent="0.35">
      <c r="A205" s="62">
        <v>10245</v>
      </c>
      <c r="B205" s="62" t="s">
        <v>648</v>
      </c>
      <c r="C205" s="62"/>
      <c r="D205" s="62" t="s">
        <v>28</v>
      </c>
      <c r="E205" s="62">
        <v>3</v>
      </c>
      <c r="F205" s="62">
        <v>2.5</v>
      </c>
      <c r="G205" s="62">
        <v>1780</v>
      </c>
      <c r="H205" s="62">
        <v>2000</v>
      </c>
      <c r="I205" s="62">
        <v>1941</v>
      </c>
      <c r="J205" s="62">
        <v>2</v>
      </c>
      <c r="K205" s="62" t="s">
        <v>180</v>
      </c>
      <c r="L205" s="62">
        <v>295000</v>
      </c>
      <c r="M205" s="62">
        <v>294000</v>
      </c>
      <c r="N205" s="62">
        <v>84</v>
      </c>
      <c r="O205" s="62">
        <v>2.98</v>
      </c>
    </row>
    <row r="206" spans="1:15" x14ac:dyDescent="0.35">
      <c r="A206" s="62">
        <v>10036</v>
      </c>
      <c r="B206" s="62" t="s">
        <v>649</v>
      </c>
      <c r="C206" s="62" t="s">
        <v>75</v>
      </c>
      <c r="D206" s="62" t="s">
        <v>27</v>
      </c>
      <c r="E206" s="62">
        <v>5</v>
      </c>
      <c r="F206" s="62">
        <v>3.5</v>
      </c>
      <c r="G206" s="62">
        <v>2410</v>
      </c>
      <c r="H206" s="62">
        <v>6880</v>
      </c>
      <c r="I206" s="62">
        <v>1993</v>
      </c>
      <c r="J206" s="62">
        <v>2</v>
      </c>
      <c r="K206" s="62" t="s">
        <v>411</v>
      </c>
      <c r="L206" s="62">
        <v>630000</v>
      </c>
      <c r="M206" s="62">
        <v>654000</v>
      </c>
      <c r="N206" s="62">
        <v>32</v>
      </c>
      <c r="O206" s="62">
        <v>2.56</v>
      </c>
    </row>
    <row r="207" spans="1:15" x14ac:dyDescent="0.35">
      <c r="A207" s="62">
        <v>10066</v>
      </c>
      <c r="B207" s="62" t="s">
        <v>650</v>
      </c>
      <c r="C207" s="62" t="s">
        <v>74</v>
      </c>
      <c r="D207" s="62" t="s">
        <v>27</v>
      </c>
      <c r="E207" s="62">
        <v>4</v>
      </c>
      <c r="F207" s="62">
        <v>3.5</v>
      </c>
      <c r="G207" s="62">
        <v>2350</v>
      </c>
      <c r="H207" s="62">
        <v>9820</v>
      </c>
      <c r="I207" s="62">
        <v>1938</v>
      </c>
      <c r="J207" s="62">
        <v>0</v>
      </c>
      <c r="K207" s="62" t="s">
        <v>179</v>
      </c>
      <c r="L207" s="62">
        <v>407000</v>
      </c>
      <c r="M207" s="62">
        <v>414000</v>
      </c>
      <c r="N207" s="62">
        <v>32</v>
      </c>
      <c r="O207" s="62"/>
    </row>
    <row r="208" spans="1:15" x14ac:dyDescent="0.35">
      <c r="A208" s="62">
        <v>10155</v>
      </c>
      <c r="B208" s="62" t="s">
        <v>650</v>
      </c>
      <c r="C208" s="62" t="s">
        <v>75</v>
      </c>
      <c r="D208" s="62" t="s">
        <v>26</v>
      </c>
      <c r="E208" s="62">
        <v>3</v>
      </c>
      <c r="F208" s="62">
        <v>2.5</v>
      </c>
      <c r="G208" s="62">
        <v>1620</v>
      </c>
      <c r="H208" s="62">
        <v>0</v>
      </c>
      <c r="I208" s="62">
        <v>1968</v>
      </c>
      <c r="J208" s="62">
        <v>1</v>
      </c>
      <c r="K208" s="62" t="s">
        <v>181</v>
      </c>
      <c r="L208" s="62">
        <v>319000</v>
      </c>
      <c r="M208" s="62">
        <v>297000</v>
      </c>
      <c r="N208" s="62">
        <v>77</v>
      </c>
      <c r="O208" s="62">
        <v>3.01</v>
      </c>
    </row>
    <row r="209" spans="1:15" x14ac:dyDescent="0.35">
      <c r="A209" s="62">
        <v>10074</v>
      </c>
      <c r="B209" s="62" t="s">
        <v>651</v>
      </c>
      <c r="C209" s="62" t="s">
        <v>76</v>
      </c>
      <c r="D209" s="62" t="s">
        <v>403</v>
      </c>
      <c r="E209" s="62">
        <v>4</v>
      </c>
      <c r="F209" s="62">
        <v>2.5</v>
      </c>
      <c r="G209" s="62">
        <v>1970</v>
      </c>
      <c r="H209" s="62">
        <v>5700</v>
      </c>
      <c r="I209" s="62">
        <v>1955</v>
      </c>
      <c r="J209" s="62">
        <v>1</v>
      </c>
      <c r="K209" s="62" t="s">
        <v>179</v>
      </c>
      <c r="L209" s="62">
        <v>387000</v>
      </c>
      <c r="M209" s="62">
        <v>367000</v>
      </c>
      <c r="N209" s="62">
        <v>39</v>
      </c>
      <c r="O209" s="62">
        <v>2.98</v>
      </c>
    </row>
    <row r="210" spans="1:15" x14ac:dyDescent="0.35">
      <c r="A210" s="62">
        <v>10054</v>
      </c>
      <c r="B210" s="62" t="s">
        <v>652</v>
      </c>
      <c r="C210" s="62" t="s">
        <v>74</v>
      </c>
      <c r="D210" s="62" t="s">
        <v>27</v>
      </c>
      <c r="E210" s="62">
        <v>3</v>
      </c>
      <c r="F210" s="62">
        <v>2</v>
      </c>
      <c r="G210" s="62">
        <v>1400</v>
      </c>
      <c r="H210" s="62">
        <v>3500</v>
      </c>
      <c r="I210" s="62">
        <v>1989</v>
      </c>
      <c r="J210" s="62">
        <v>1</v>
      </c>
      <c r="K210" s="62" t="s">
        <v>413</v>
      </c>
      <c r="L210" s="62">
        <v>305000</v>
      </c>
      <c r="M210" s="62">
        <v>302000</v>
      </c>
      <c r="N210" s="62">
        <v>53</v>
      </c>
      <c r="O210" s="62">
        <v>2.96</v>
      </c>
    </row>
    <row r="211" spans="1:15" x14ac:dyDescent="0.35">
      <c r="A211" s="62">
        <v>10167</v>
      </c>
      <c r="B211" s="62" t="s">
        <v>653</v>
      </c>
      <c r="C211" s="62" t="s">
        <v>72</v>
      </c>
      <c r="D211" s="62" t="s">
        <v>405</v>
      </c>
      <c r="E211" s="62">
        <v>4</v>
      </c>
      <c r="F211" s="62">
        <v>3.5</v>
      </c>
      <c r="G211" s="62">
        <v>1770</v>
      </c>
      <c r="H211" s="62">
        <v>4940</v>
      </c>
      <c r="I211" s="62">
        <v>1988</v>
      </c>
      <c r="J211" s="62">
        <v>1</v>
      </c>
      <c r="K211" s="62" t="s">
        <v>179</v>
      </c>
      <c r="L211" s="62">
        <v>358000</v>
      </c>
      <c r="M211" s="62">
        <v>355000</v>
      </c>
      <c r="N211" s="62">
        <v>59</v>
      </c>
      <c r="O211" s="62">
        <v>2.5099999999999998</v>
      </c>
    </row>
    <row r="212" spans="1:15" x14ac:dyDescent="0.35">
      <c r="A212" s="62">
        <v>10247</v>
      </c>
      <c r="B212" s="62" t="s">
        <v>653</v>
      </c>
      <c r="C212" s="62" t="s">
        <v>389</v>
      </c>
      <c r="D212" s="62" t="s">
        <v>406</v>
      </c>
      <c r="E212" s="62">
        <v>4</v>
      </c>
      <c r="F212" s="62">
        <v>3.5</v>
      </c>
      <c r="G212" s="62">
        <v>2090</v>
      </c>
      <c r="H212" s="62">
        <v>8310</v>
      </c>
      <c r="I212" s="62">
        <v>2008</v>
      </c>
      <c r="J212" s="62">
        <v>2</v>
      </c>
      <c r="K212" s="62" t="s">
        <v>179</v>
      </c>
      <c r="L212" s="62">
        <v>387000</v>
      </c>
      <c r="M212" s="62">
        <v>375000</v>
      </c>
      <c r="N212" s="62">
        <v>43</v>
      </c>
      <c r="O212" s="62"/>
    </row>
    <row r="213" spans="1:15" x14ac:dyDescent="0.35">
      <c r="A213" s="62">
        <v>10250</v>
      </c>
      <c r="B213" s="62" t="s">
        <v>654</v>
      </c>
      <c r="C213" s="62" t="s">
        <v>76</v>
      </c>
      <c r="D213" s="62" t="s">
        <v>27</v>
      </c>
      <c r="E213" s="62">
        <v>4</v>
      </c>
      <c r="F213" s="62">
        <v>3</v>
      </c>
      <c r="G213" s="62">
        <v>2140</v>
      </c>
      <c r="H213" s="62">
        <v>9460</v>
      </c>
      <c r="I213" s="62">
        <v>2018</v>
      </c>
      <c r="J213" s="62"/>
      <c r="K213" s="62" t="s">
        <v>179</v>
      </c>
      <c r="L213" s="62">
        <v>471000</v>
      </c>
      <c r="M213" s="62">
        <v>464000</v>
      </c>
      <c r="N213" s="62">
        <v>27</v>
      </c>
      <c r="O213" s="62">
        <v>2.5499999999999998</v>
      </c>
    </row>
    <row r="214" spans="1:15" x14ac:dyDescent="0.35">
      <c r="A214" s="62">
        <v>10244</v>
      </c>
      <c r="B214" s="62" t="s">
        <v>655</v>
      </c>
      <c r="C214" s="62" t="s">
        <v>74</v>
      </c>
      <c r="D214" s="62" t="s">
        <v>27</v>
      </c>
      <c r="E214" s="62">
        <v>4</v>
      </c>
      <c r="F214" s="62">
        <v>3</v>
      </c>
      <c r="G214" s="62">
        <v>1770</v>
      </c>
      <c r="H214" s="62">
        <v>5470</v>
      </c>
      <c r="I214" s="62">
        <v>1992</v>
      </c>
      <c r="J214" s="62">
        <v>3</v>
      </c>
      <c r="K214" s="62" t="s">
        <v>180</v>
      </c>
      <c r="L214" s="62">
        <v>400000</v>
      </c>
      <c r="M214" s="62">
        <v>388000</v>
      </c>
      <c r="N214" s="62">
        <v>46</v>
      </c>
      <c r="O214" s="62">
        <v>2.98</v>
      </c>
    </row>
    <row r="215" spans="1:15" x14ac:dyDescent="0.35">
      <c r="A215" s="62">
        <v>10181</v>
      </c>
      <c r="B215" s="62" t="s">
        <v>656</v>
      </c>
      <c r="C215" s="62" t="s">
        <v>72</v>
      </c>
      <c r="D215" s="62" t="s">
        <v>26</v>
      </c>
      <c r="E215" s="62">
        <v>1</v>
      </c>
      <c r="F215" s="62">
        <v>1.5</v>
      </c>
      <c r="G215" s="62">
        <v>630</v>
      </c>
      <c r="H215" s="62">
        <v>0</v>
      </c>
      <c r="I215" s="62">
        <v>2009</v>
      </c>
      <c r="J215" s="62">
        <v>0</v>
      </c>
      <c r="K215" s="62" t="s">
        <v>180</v>
      </c>
      <c r="L215" s="62">
        <v>118000</v>
      </c>
      <c r="M215" s="62">
        <v>116000</v>
      </c>
      <c r="N215" s="62">
        <v>65</v>
      </c>
      <c r="O215" s="62">
        <v>3.03</v>
      </c>
    </row>
    <row r="216" spans="1:15" x14ac:dyDescent="0.35">
      <c r="A216" s="62">
        <v>10231</v>
      </c>
      <c r="B216" s="62" t="s">
        <v>657</v>
      </c>
      <c r="C216" s="62" t="s">
        <v>75</v>
      </c>
      <c r="D216" s="62" t="s">
        <v>27</v>
      </c>
      <c r="E216" s="62">
        <v>3</v>
      </c>
      <c r="F216" s="62">
        <v>2</v>
      </c>
      <c r="G216" s="62">
        <v>1650</v>
      </c>
      <c r="H216" s="62">
        <v>6960</v>
      </c>
      <c r="I216" s="62">
        <v>1989</v>
      </c>
      <c r="J216" s="62">
        <v>1</v>
      </c>
      <c r="K216" s="62" t="s">
        <v>178</v>
      </c>
      <c r="L216" s="62">
        <v>457000</v>
      </c>
      <c r="M216" s="62">
        <v>432000</v>
      </c>
      <c r="N216" s="62">
        <v>81</v>
      </c>
      <c r="O216" s="62">
        <v>2.4500000000000002</v>
      </c>
    </row>
    <row r="217" spans="1:15" x14ac:dyDescent="0.35">
      <c r="A217" s="62">
        <v>10170</v>
      </c>
      <c r="B217" s="62" t="s">
        <v>658</v>
      </c>
      <c r="C217" s="62" t="s">
        <v>384</v>
      </c>
      <c r="D217" s="62" t="s">
        <v>26</v>
      </c>
      <c r="E217" s="62">
        <v>2</v>
      </c>
      <c r="F217" s="62">
        <v>1</v>
      </c>
      <c r="G217" s="62">
        <v>1490</v>
      </c>
      <c r="H217" s="62">
        <v>0</v>
      </c>
      <c r="I217" s="62">
        <v>1998</v>
      </c>
      <c r="J217" s="62">
        <v>0</v>
      </c>
      <c r="K217" s="62" t="s">
        <v>178</v>
      </c>
      <c r="L217" s="62">
        <v>244000</v>
      </c>
      <c r="M217" s="62">
        <v>234000</v>
      </c>
      <c r="N217" s="62">
        <v>41</v>
      </c>
      <c r="O217" s="62">
        <v>3.19</v>
      </c>
    </row>
    <row r="218" spans="1:15" x14ac:dyDescent="0.35">
      <c r="A218" s="62">
        <v>10197</v>
      </c>
      <c r="B218" s="62" t="s">
        <v>659</v>
      </c>
      <c r="C218" s="62" t="s">
        <v>74</v>
      </c>
      <c r="D218" s="62" t="s">
        <v>26</v>
      </c>
      <c r="E218" s="62">
        <v>2</v>
      </c>
      <c r="F218" s="62">
        <v>2</v>
      </c>
      <c r="G218" s="62">
        <v>1380</v>
      </c>
      <c r="H218" s="62">
        <v>0</v>
      </c>
      <c r="I218" s="62">
        <v>1995</v>
      </c>
      <c r="J218" s="62">
        <v>1</v>
      </c>
      <c r="K218" s="62" t="s">
        <v>180</v>
      </c>
      <c r="L218" s="62">
        <v>222000</v>
      </c>
      <c r="M218" s="62">
        <v>202000</v>
      </c>
      <c r="N218" s="62">
        <v>61</v>
      </c>
      <c r="O218" s="62">
        <v>3.04</v>
      </c>
    </row>
    <row r="219" spans="1:15" x14ac:dyDescent="0.35">
      <c r="A219" s="62">
        <v>10190</v>
      </c>
      <c r="B219" s="62" t="s">
        <v>660</v>
      </c>
      <c r="C219" s="62" t="s">
        <v>76</v>
      </c>
      <c r="D219" s="62" t="s">
        <v>408</v>
      </c>
      <c r="E219" s="62">
        <v>3</v>
      </c>
      <c r="F219" s="62">
        <v>2</v>
      </c>
      <c r="G219" s="62">
        <v>1620</v>
      </c>
      <c r="H219" s="62">
        <v>1970</v>
      </c>
      <c r="I219" s="62">
        <v>2017</v>
      </c>
      <c r="J219" s="62">
        <v>2</v>
      </c>
      <c r="K219" s="62" t="s">
        <v>179</v>
      </c>
      <c r="L219" s="62">
        <v>378000</v>
      </c>
      <c r="M219" s="62">
        <v>364000</v>
      </c>
      <c r="N219" s="62">
        <v>55</v>
      </c>
      <c r="O219" s="62">
        <v>2.52</v>
      </c>
    </row>
    <row r="220" spans="1:15" x14ac:dyDescent="0.35">
      <c r="A220" s="62">
        <v>10154</v>
      </c>
      <c r="B220" s="62" t="s">
        <v>661</v>
      </c>
      <c r="C220" s="62" t="s">
        <v>74</v>
      </c>
      <c r="D220" s="62" t="s">
        <v>27</v>
      </c>
      <c r="E220" s="62">
        <v>3</v>
      </c>
      <c r="F220" s="62">
        <v>3</v>
      </c>
      <c r="G220" s="62">
        <v>1750</v>
      </c>
      <c r="H220" s="62">
        <v>5520</v>
      </c>
      <c r="I220" s="62">
        <v>1953</v>
      </c>
      <c r="J220" s="62">
        <v>1</v>
      </c>
      <c r="K220" s="62" t="s">
        <v>178</v>
      </c>
      <c r="L220" s="62">
        <v>394000</v>
      </c>
      <c r="M220" s="62">
        <v>385000</v>
      </c>
      <c r="N220" s="62">
        <v>38</v>
      </c>
      <c r="O220" s="62">
        <v>2.75</v>
      </c>
    </row>
    <row r="221" spans="1:15" x14ac:dyDescent="0.35">
      <c r="A221" s="62">
        <v>10150</v>
      </c>
      <c r="B221" s="62" t="s">
        <v>662</v>
      </c>
      <c r="C221" s="62" t="s">
        <v>392</v>
      </c>
      <c r="D221" s="62" t="s">
        <v>27</v>
      </c>
      <c r="E221" s="62">
        <v>3</v>
      </c>
      <c r="F221" s="62">
        <v>2</v>
      </c>
      <c r="G221" s="62">
        <v>1670</v>
      </c>
      <c r="H221" s="62">
        <v>5990</v>
      </c>
      <c r="I221" s="62">
        <v>1988</v>
      </c>
      <c r="J221" s="62">
        <v>2</v>
      </c>
      <c r="K221" s="62" t="s">
        <v>179</v>
      </c>
      <c r="L221" s="62">
        <v>454000</v>
      </c>
      <c r="M221" s="62">
        <v>435000</v>
      </c>
      <c r="N221" s="62">
        <v>50</v>
      </c>
      <c r="O221" s="62">
        <v>3.15</v>
      </c>
    </row>
    <row r="222" spans="1:15" x14ac:dyDescent="0.35">
      <c r="A222" s="62">
        <v>10239</v>
      </c>
      <c r="B222" s="62" t="s">
        <v>662</v>
      </c>
      <c r="C222" s="62" t="s">
        <v>75</v>
      </c>
      <c r="D222" s="62" t="s">
        <v>27</v>
      </c>
      <c r="E222" s="62">
        <v>5</v>
      </c>
      <c r="F222" s="62">
        <v>3.5</v>
      </c>
      <c r="G222" s="62">
        <v>2300</v>
      </c>
      <c r="H222" s="62">
        <v>6410</v>
      </c>
      <c r="I222" s="62">
        <v>2011</v>
      </c>
      <c r="J222" s="62">
        <v>2</v>
      </c>
      <c r="K222" s="62" t="s">
        <v>179</v>
      </c>
      <c r="L222" s="62">
        <v>559000</v>
      </c>
      <c r="M222" s="62">
        <v>536000</v>
      </c>
      <c r="N222" s="62">
        <v>57</v>
      </c>
      <c r="O222" s="62">
        <v>2.4700000000000002</v>
      </c>
    </row>
    <row r="223" spans="1:15" x14ac:dyDescent="0.35">
      <c r="A223" s="62">
        <v>10165</v>
      </c>
      <c r="B223" s="62" t="s">
        <v>663</v>
      </c>
      <c r="C223" s="62" t="s">
        <v>74</v>
      </c>
      <c r="D223" s="62" t="s">
        <v>27</v>
      </c>
      <c r="E223" s="62">
        <v>3</v>
      </c>
      <c r="F223" s="62">
        <v>2</v>
      </c>
      <c r="G223" s="62">
        <v>1770</v>
      </c>
      <c r="H223" s="62">
        <v>5940</v>
      </c>
      <c r="I223" s="62">
        <v>1990</v>
      </c>
      <c r="J223" s="62">
        <v>2</v>
      </c>
      <c r="K223" s="62"/>
      <c r="L223" s="62">
        <v>366000</v>
      </c>
      <c r="M223" s="62">
        <v>374000</v>
      </c>
      <c r="N223" s="62">
        <v>41</v>
      </c>
      <c r="O223" s="62">
        <v>2.97</v>
      </c>
    </row>
    <row r="224" spans="1:15" x14ac:dyDescent="0.35">
      <c r="A224" s="62">
        <v>10087</v>
      </c>
      <c r="B224" s="62" t="s">
        <v>664</v>
      </c>
      <c r="C224" s="62" t="s">
        <v>73</v>
      </c>
      <c r="D224" s="62" t="s">
        <v>401</v>
      </c>
      <c r="E224" s="62">
        <v>2</v>
      </c>
      <c r="F224" s="62">
        <v>1.5</v>
      </c>
      <c r="G224" s="62">
        <v>1010</v>
      </c>
      <c r="H224" s="62">
        <v>0</v>
      </c>
      <c r="I224" s="62">
        <v>2018</v>
      </c>
      <c r="J224" s="62">
        <v>0</v>
      </c>
      <c r="K224" s="62" t="s">
        <v>179</v>
      </c>
      <c r="L224" s="62">
        <v>326000</v>
      </c>
      <c r="M224" s="62">
        <v>310000</v>
      </c>
      <c r="N224" s="62">
        <v>66</v>
      </c>
      <c r="O224" s="62">
        <v>3.01</v>
      </c>
    </row>
    <row r="225" spans="1:15" x14ac:dyDescent="0.35">
      <c r="A225" s="62">
        <v>10001</v>
      </c>
      <c r="B225" s="62" t="s">
        <v>665</v>
      </c>
      <c r="C225" s="62" t="s">
        <v>73</v>
      </c>
      <c r="D225" s="62" t="s">
        <v>28</v>
      </c>
      <c r="E225" s="62">
        <v>2</v>
      </c>
      <c r="F225" s="62">
        <v>1.5</v>
      </c>
      <c r="G225" s="62">
        <v>1470</v>
      </c>
      <c r="H225" s="62"/>
      <c r="I225" s="62">
        <v>1945</v>
      </c>
      <c r="J225" s="62">
        <v>2</v>
      </c>
      <c r="K225" s="62" t="s">
        <v>179</v>
      </c>
      <c r="L225" s="62">
        <v>367000</v>
      </c>
      <c r="M225" s="62">
        <v>357000</v>
      </c>
      <c r="N225" s="62">
        <v>53</v>
      </c>
      <c r="O225" s="62">
        <v>3.3</v>
      </c>
    </row>
    <row r="226" spans="1:15" x14ac:dyDescent="0.35">
      <c r="A226" s="62">
        <v>10152</v>
      </c>
      <c r="B226" s="62" t="s">
        <v>666</v>
      </c>
      <c r="C226" s="62" t="s">
        <v>385</v>
      </c>
      <c r="D226" s="62" t="s">
        <v>26</v>
      </c>
      <c r="E226" s="62">
        <v>1</v>
      </c>
      <c r="F226" s="62">
        <v>1</v>
      </c>
      <c r="G226" s="62">
        <v>840</v>
      </c>
      <c r="H226" s="62">
        <v>0</v>
      </c>
      <c r="I226" s="62">
        <v>1984</v>
      </c>
      <c r="J226" s="62">
        <v>1</v>
      </c>
      <c r="K226" s="62" t="s">
        <v>180</v>
      </c>
      <c r="L226" s="62">
        <v>131000</v>
      </c>
      <c r="M226" s="62">
        <v>139000</v>
      </c>
      <c r="N226" s="62">
        <v>58</v>
      </c>
      <c r="O226" s="62"/>
    </row>
    <row r="227" spans="1:15" x14ac:dyDescent="0.35">
      <c r="A227" s="62">
        <v>10129</v>
      </c>
      <c r="B227" s="62" t="s">
        <v>666</v>
      </c>
      <c r="C227" s="62" t="s">
        <v>392</v>
      </c>
      <c r="D227" s="62" t="s">
        <v>27</v>
      </c>
      <c r="E227" s="62">
        <v>4</v>
      </c>
      <c r="F227" s="62">
        <v>4</v>
      </c>
      <c r="G227" s="62">
        <v>2000</v>
      </c>
      <c r="H227" s="62">
        <v>8670</v>
      </c>
      <c r="I227" s="62">
        <v>2002</v>
      </c>
      <c r="J227" s="62">
        <v>1</v>
      </c>
      <c r="K227" s="62" t="s">
        <v>179</v>
      </c>
      <c r="L227" s="62">
        <v>486000</v>
      </c>
      <c r="M227" s="62">
        <v>470000</v>
      </c>
      <c r="N227" s="62">
        <v>55</v>
      </c>
      <c r="O227" s="62">
        <v>2.58</v>
      </c>
    </row>
    <row r="228" spans="1:15" x14ac:dyDescent="0.35">
      <c r="A228" s="62">
        <v>10163</v>
      </c>
      <c r="B228" s="62" t="s">
        <v>667</v>
      </c>
      <c r="C228" s="62" t="s">
        <v>76</v>
      </c>
      <c r="D228" s="62" t="s">
        <v>27</v>
      </c>
      <c r="E228" s="62">
        <v>4</v>
      </c>
      <c r="F228" s="62">
        <v>3</v>
      </c>
      <c r="G228" s="62">
        <v>2300</v>
      </c>
      <c r="H228" s="62">
        <v>7310</v>
      </c>
      <c r="I228" s="62">
        <v>1948</v>
      </c>
      <c r="J228" s="62">
        <v>2</v>
      </c>
      <c r="K228" s="62" t="s">
        <v>180</v>
      </c>
      <c r="L228" s="62">
        <v>444000</v>
      </c>
      <c r="M228" s="62">
        <v>457000</v>
      </c>
      <c r="N228" s="62">
        <v>124</v>
      </c>
      <c r="O228" s="62">
        <v>3</v>
      </c>
    </row>
    <row r="229" spans="1:15" x14ac:dyDescent="0.35">
      <c r="A229" s="62">
        <v>10173</v>
      </c>
      <c r="B229" s="62" t="s">
        <v>667</v>
      </c>
      <c r="C229" s="62" t="s">
        <v>76</v>
      </c>
      <c r="D229" s="62" t="s">
        <v>406</v>
      </c>
      <c r="E229" s="62">
        <v>3</v>
      </c>
      <c r="F229" s="62">
        <v>2.5</v>
      </c>
      <c r="G229" s="62">
        <v>1760</v>
      </c>
      <c r="H229" s="62">
        <v>7210</v>
      </c>
      <c r="I229" s="62">
        <v>2014</v>
      </c>
      <c r="J229" s="62">
        <v>2</v>
      </c>
      <c r="K229" s="62" t="s">
        <v>179</v>
      </c>
      <c r="L229" s="62">
        <v>423000</v>
      </c>
      <c r="M229" s="62">
        <v>387000</v>
      </c>
      <c r="N229" s="62">
        <v>86</v>
      </c>
      <c r="O229" s="62">
        <v>2.93</v>
      </c>
    </row>
    <row r="230" spans="1:15" x14ac:dyDescent="0.35">
      <c r="A230" s="62">
        <v>10232</v>
      </c>
      <c r="B230" s="62" t="s">
        <v>667</v>
      </c>
      <c r="C230" s="62" t="s">
        <v>76</v>
      </c>
      <c r="D230" s="62" t="s">
        <v>406</v>
      </c>
      <c r="E230" s="62">
        <v>2</v>
      </c>
      <c r="F230" s="62">
        <v>2</v>
      </c>
      <c r="G230" s="62">
        <v>1040</v>
      </c>
      <c r="H230" s="62">
        <v>2610</v>
      </c>
      <c r="I230" s="62">
        <v>1963</v>
      </c>
      <c r="J230" s="62"/>
      <c r="K230" s="62" t="s">
        <v>180</v>
      </c>
      <c r="L230" s="62">
        <v>223000</v>
      </c>
      <c r="M230" s="62">
        <v>209000</v>
      </c>
      <c r="N230" s="62">
        <v>44</v>
      </c>
      <c r="O230" s="62">
        <v>3.24</v>
      </c>
    </row>
    <row r="231" spans="1:15" x14ac:dyDescent="0.35">
      <c r="A231" s="62">
        <v>10133</v>
      </c>
      <c r="B231" s="62" t="s">
        <v>668</v>
      </c>
      <c r="C231" s="62" t="s">
        <v>74</v>
      </c>
      <c r="D231" s="62" t="s">
        <v>28</v>
      </c>
      <c r="E231" s="62">
        <v>2</v>
      </c>
      <c r="F231" s="62">
        <v>2</v>
      </c>
      <c r="G231" s="62">
        <v>1280</v>
      </c>
      <c r="H231" s="62">
        <v>1270</v>
      </c>
      <c r="I231" s="62">
        <v>1966</v>
      </c>
      <c r="J231" s="62">
        <v>2</v>
      </c>
      <c r="K231" s="62" t="s">
        <v>180</v>
      </c>
      <c r="L231" s="62">
        <v>236000</v>
      </c>
      <c r="M231" s="62">
        <v>227000</v>
      </c>
      <c r="N231" s="62">
        <v>88</v>
      </c>
      <c r="O231" s="62">
        <v>3.16</v>
      </c>
    </row>
    <row r="232" spans="1:15" x14ac:dyDescent="0.35">
      <c r="A232" s="62">
        <v>10029</v>
      </c>
      <c r="B232" s="62" t="s">
        <v>669</v>
      </c>
      <c r="C232" s="62" t="s">
        <v>75</v>
      </c>
      <c r="D232" s="62" t="s">
        <v>26</v>
      </c>
      <c r="E232" s="62">
        <v>2</v>
      </c>
      <c r="F232" s="62">
        <v>1.5</v>
      </c>
      <c r="G232" s="62">
        <v>1370</v>
      </c>
      <c r="H232" s="62">
        <v>0</v>
      </c>
      <c r="I232" s="62">
        <v>1938</v>
      </c>
      <c r="J232" s="62">
        <v>0</v>
      </c>
      <c r="K232" s="62" t="s">
        <v>412</v>
      </c>
      <c r="L232" s="62">
        <v>289000</v>
      </c>
      <c r="M232" s="62">
        <v>284000</v>
      </c>
      <c r="N232" s="62">
        <v>99</v>
      </c>
      <c r="O232" s="62">
        <v>2.4500000000000002</v>
      </c>
    </row>
    <row r="233" spans="1:15" x14ac:dyDescent="0.35">
      <c r="A233" s="62">
        <v>10033</v>
      </c>
      <c r="B233" s="62" t="s">
        <v>670</v>
      </c>
      <c r="C233" s="62" t="s">
        <v>76</v>
      </c>
      <c r="D233" s="62" t="s">
        <v>27</v>
      </c>
      <c r="E233" s="62">
        <v>3</v>
      </c>
      <c r="F233" s="62">
        <v>3</v>
      </c>
      <c r="G233" s="62">
        <v>1630</v>
      </c>
      <c r="H233" s="62">
        <v>3670</v>
      </c>
      <c r="I233" s="62">
        <v>1982</v>
      </c>
      <c r="J233" s="62">
        <v>1</v>
      </c>
      <c r="K233" s="62" t="s">
        <v>179</v>
      </c>
      <c r="L233" s="62">
        <v>361000</v>
      </c>
      <c r="M233" s="62">
        <v>343000</v>
      </c>
      <c r="N233" s="62">
        <v>35</v>
      </c>
      <c r="O233" s="62">
        <v>2.89</v>
      </c>
    </row>
    <row r="234" spans="1:15" x14ac:dyDescent="0.35">
      <c r="A234" s="62">
        <v>10038</v>
      </c>
      <c r="B234" s="62" t="s">
        <v>671</v>
      </c>
      <c r="C234" s="62" t="s">
        <v>74</v>
      </c>
      <c r="D234" s="62" t="s">
        <v>27</v>
      </c>
      <c r="E234" s="62">
        <v>3</v>
      </c>
      <c r="F234" s="62">
        <v>2.5</v>
      </c>
      <c r="G234" s="62">
        <v>1540</v>
      </c>
      <c r="H234" s="62">
        <v>5630</v>
      </c>
      <c r="I234" s="62"/>
      <c r="J234" s="62">
        <v>1</v>
      </c>
      <c r="K234" s="62" t="s">
        <v>178</v>
      </c>
      <c r="L234" s="62">
        <v>320000</v>
      </c>
      <c r="M234" s="62">
        <v>310000</v>
      </c>
      <c r="N234" s="62">
        <v>24</v>
      </c>
      <c r="O234" s="62"/>
    </row>
    <row r="235" spans="1:15" x14ac:dyDescent="0.35">
      <c r="A235" s="62">
        <v>10233</v>
      </c>
      <c r="B235" s="62" t="s">
        <v>672</v>
      </c>
      <c r="C235" s="62" t="s">
        <v>72</v>
      </c>
      <c r="D235" s="62" t="s">
        <v>27</v>
      </c>
      <c r="E235" s="62">
        <v>4</v>
      </c>
      <c r="F235" s="62">
        <v>2.5</v>
      </c>
      <c r="G235" s="62">
        <v>1940</v>
      </c>
      <c r="H235" s="62">
        <v>5700</v>
      </c>
      <c r="I235" s="62"/>
      <c r="J235" s="62">
        <v>2</v>
      </c>
      <c r="K235" s="62" t="s">
        <v>179</v>
      </c>
      <c r="L235" s="62">
        <v>362000</v>
      </c>
      <c r="M235" s="62">
        <v>352000</v>
      </c>
      <c r="N235" s="62">
        <v>31</v>
      </c>
      <c r="O235" s="62">
        <v>2.92</v>
      </c>
    </row>
    <row r="236" spans="1:15" x14ac:dyDescent="0.35">
      <c r="A236" s="62">
        <v>10090</v>
      </c>
      <c r="B236" s="62" t="s">
        <v>672</v>
      </c>
      <c r="C236" s="62" t="s">
        <v>74</v>
      </c>
      <c r="D236" s="62" t="s">
        <v>26</v>
      </c>
      <c r="E236" s="62">
        <v>2</v>
      </c>
      <c r="F236" s="62">
        <v>1.5</v>
      </c>
      <c r="G236" s="62">
        <v>1380</v>
      </c>
      <c r="H236" s="62">
        <v>0</v>
      </c>
      <c r="I236" s="62">
        <v>1975</v>
      </c>
      <c r="J236" s="62">
        <v>0</v>
      </c>
      <c r="K236" s="62" t="s">
        <v>181</v>
      </c>
      <c r="L236" s="62">
        <v>194000</v>
      </c>
      <c r="M236" s="62">
        <v>196000</v>
      </c>
      <c r="N236" s="62">
        <v>74</v>
      </c>
      <c r="O236" s="62"/>
    </row>
    <row r="237" spans="1:15" x14ac:dyDescent="0.35">
      <c r="A237" s="62">
        <v>10030</v>
      </c>
      <c r="B237" s="62" t="s">
        <v>673</v>
      </c>
      <c r="C237" s="62" t="s">
        <v>74</v>
      </c>
      <c r="D237" s="62" t="s">
        <v>26</v>
      </c>
      <c r="E237" s="62">
        <v>3</v>
      </c>
      <c r="F237" s="62">
        <v>2.5</v>
      </c>
      <c r="G237" s="62">
        <v>1770</v>
      </c>
      <c r="H237" s="62">
        <v>0</v>
      </c>
      <c r="I237" s="62">
        <v>2022</v>
      </c>
      <c r="J237" s="62">
        <v>0</v>
      </c>
      <c r="K237" s="62" t="s">
        <v>179</v>
      </c>
      <c r="L237" s="62">
        <v>327000</v>
      </c>
      <c r="M237" s="62">
        <v>303000</v>
      </c>
      <c r="N237" s="62">
        <v>37</v>
      </c>
      <c r="O237" s="62">
        <v>3.24</v>
      </c>
    </row>
    <row r="238" spans="1:15" x14ac:dyDescent="0.35">
      <c r="A238" s="62">
        <v>10117</v>
      </c>
      <c r="B238" s="62" t="s">
        <v>674</v>
      </c>
      <c r="C238" s="62" t="s">
        <v>73</v>
      </c>
      <c r="D238" s="62" t="s">
        <v>408</v>
      </c>
      <c r="E238" s="62">
        <v>2</v>
      </c>
      <c r="F238" s="62">
        <v>2</v>
      </c>
      <c r="G238" s="62">
        <v>1320</v>
      </c>
      <c r="H238" s="62">
        <v>1720</v>
      </c>
      <c r="I238" s="62">
        <v>2022</v>
      </c>
      <c r="J238" s="62"/>
      <c r="K238" s="62" t="s">
        <v>180</v>
      </c>
      <c r="L238" s="62">
        <v>441000</v>
      </c>
      <c r="M238" s="62">
        <v>425000</v>
      </c>
      <c r="N238" s="62">
        <v>52</v>
      </c>
      <c r="O238" s="62">
        <v>3.08</v>
      </c>
    </row>
    <row r="239" spans="1:15" x14ac:dyDescent="0.35">
      <c r="A239" s="62">
        <v>10147</v>
      </c>
      <c r="B239" s="62" t="s">
        <v>674</v>
      </c>
      <c r="C239" s="62" t="s">
        <v>76</v>
      </c>
      <c r="D239" s="62" t="s">
        <v>26</v>
      </c>
      <c r="E239" s="62">
        <v>1</v>
      </c>
      <c r="F239" s="62">
        <v>1</v>
      </c>
      <c r="G239" s="62">
        <v>970</v>
      </c>
      <c r="H239" s="62">
        <v>0</v>
      </c>
      <c r="I239" s="62">
        <v>1986</v>
      </c>
      <c r="J239" s="62">
        <v>1</v>
      </c>
      <c r="K239" s="62" t="s">
        <v>180</v>
      </c>
      <c r="L239" s="62">
        <v>221000</v>
      </c>
      <c r="M239" s="62">
        <v>215000</v>
      </c>
      <c r="N239" s="62">
        <v>80</v>
      </c>
      <c r="O239" s="62">
        <v>2.97</v>
      </c>
    </row>
    <row r="240" spans="1:15" x14ac:dyDescent="0.35">
      <c r="A240" s="62">
        <v>10126</v>
      </c>
      <c r="B240" s="62" t="s">
        <v>675</v>
      </c>
      <c r="C240" s="62" t="s">
        <v>74</v>
      </c>
      <c r="D240" s="62" t="s">
        <v>27</v>
      </c>
      <c r="E240" s="62">
        <v>3</v>
      </c>
      <c r="F240" s="62">
        <v>2.5</v>
      </c>
      <c r="G240" s="62"/>
      <c r="H240" s="62">
        <v>3890</v>
      </c>
      <c r="I240" s="62">
        <v>1950</v>
      </c>
      <c r="J240" s="62">
        <v>1</v>
      </c>
      <c r="K240" s="62" t="s">
        <v>180</v>
      </c>
      <c r="L240" s="62">
        <v>270000</v>
      </c>
      <c r="M240" s="62">
        <v>274000</v>
      </c>
      <c r="N240" s="62"/>
      <c r="O240" s="62">
        <v>2.89</v>
      </c>
    </row>
    <row r="241" spans="1:15" x14ac:dyDescent="0.35">
      <c r="A241" s="62">
        <v>10058</v>
      </c>
      <c r="B241" s="62" t="s">
        <v>675</v>
      </c>
      <c r="C241" s="62" t="s">
        <v>74</v>
      </c>
      <c r="D241" s="62" t="s">
        <v>28</v>
      </c>
      <c r="E241" s="62">
        <v>2</v>
      </c>
      <c r="F241" s="62">
        <v>2</v>
      </c>
      <c r="G241" s="62">
        <v>1530</v>
      </c>
      <c r="H241" s="62">
        <v>1820</v>
      </c>
      <c r="I241" s="62">
        <v>2009</v>
      </c>
      <c r="J241" s="62"/>
      <c r="K241" s="62" t="s">
        <v>178</v>
      </c>
      <c r="L241" s="62">
        <v>363000</v>
      </c>
      <c r="M241" s="62">
        <v>358000</v>
      </c>
      <c r="N241" s="62">
        <v>72</v>
      </c>
      <c r="O241" s="62">
        <v>2.52</v>
      </c>
    </row>
    <row r="242" spans="1:15" x14ac:dyDescent="0.35">
      <c r="A242" s="62">
        <v>10034</v>
      </c>
      <c r="B242" s="62" t="s">
        <v>676</v>
      </c>
      <c r="C242" s="62" t="s">
        <v>395</v>
      </c>
      <c r="D242" s="62" t="s">
        <v>27</v>
      </c>
      <c r="E242" s="62">
        <v>4</v>
      </c>
      <c r="F242" s="62">
        <v>2.5</v>
      </c>
      <c r="G242" s="62">
        <v>1990</v>
      </c>
      <c r="H242" s="62">
        <v>7130</v>
      </c>
      <c r="I242" s="62">
        <v>1937</v>
      </c>
      <c r="J242" s="62"/>
      <c r="K242" s="62" t="s">
        <v>180</v>
      </c>
      <c r="L242" s="62">
        <v>391000</v>
      </c>
      <c r="M242" s="62">
        <v>358000</v>
      </c>
      <c r="N242" s="62">
        <v>107</v>
      </c>
      <c r="O242" s="62">
        <v>3.04</v>
      </c>
    </row>
    <row r="243" spans="1:15" x14ac:dyDescent="0.35">
      <c r="A243" s="62">
        <v>10238</v>
      </c>
      <c r="B243" s="62" t="s">
        <v>677</v>
      </c>
      <c r="C243" s="62" t="s">
        <v>73</v>
      </c>
      <c r="D243" s="62" t="s">
        <v>26</v>
      </c>
      <c r="E243" s="62">
        <v>1</v>
      </c>
      <c r="F243" s="62">
        <v>1</v>
      </c>
      <c r="G243" s="62">
        <v>1280</v>
      </c>
      <c r="H243" s="62">
        <v>0</v>
      </c>
      <c r="I243" s="62">
        <v>1962</v>
      </c>
      <c r="J243" s="62">
        <v>0</v>
      </c>
      <c r="K243" s="62" t="s">
        <v>178</v>
      </c>
      <c r="L243" s="62">
        <v>439000</v>
      </c>
      <c r="M243" s="62">
        <v>445000</v>
      </c>
      <c r="N243" s="62">
        <v>32</v>
      </c>
      <c r="O243" s="62">
        <v>2.81</v>
      </c>
    </row>
    <row r="244" spans="1:15" x14ac:dyDescent="0.35">
      <c r="A244" s="62">
        <v>10089</v>
      </c>
      <c r="B244" s="62" t="s">
        <v>678</v>
      </c>
      <c r="C244" s="62" t="s">
        <v>75</v>
      </c>
      <c r="D244" s="62" t="s">
        <v>406</v>
      </c>
      <c r="E244" s="62">
        <v>4</v>
      </c>
      <c r="F244" s="62">
        <v>3</v>
      </c>
      <c r="G244" s="62">
        <v>2260</v>
      </c>
      <c r="H244" s="62">
        <v>6080</v>
      </c>
      <c r="I244" s="62">
        <v>1955</v>
      </c>
      <c r="J244" s="62">
        <v>0</v>
      </c>
      <c r="K244" s="62" t="s">
        <v>180</v>
      </c>
      <c r="L244" s="62">
        <v>487000</v>
      </c>
      <c r="M244" s="62">
        <v>449000</v>
      </c>
      <c r="N244" s="62">
        <v>53</v>
      </c>
      <c r="O244" s="62">
        <v>2.98</v>
      </c>
    </row>
    <row r="245" spans="1:15" x14ac:dyDescent="0.35">
      <c r="A245" s="62">
        <v>10016</v>
      </c>
      <c r="B245" s="62" t="s">
        <v>679</v>
      </c>
      <c r="C245" s="62" t="s">
        <v>76</v>
      </c>
      <c r="D245" s="62" t="s">
        <v>27</v>
      </c>
      <c r="E245" s="62">
        <v>4</v>
      </c>
      <c r="F245" s="62">
        <v>3</v>
      </c>
      <c r="G245" s="62">
        <v>2140</v>
      </c>
      <c r="H245" s="62">
        <v>7910</v>
      </c>
      <c r="I245" s="62">
        <v>1960</v>
      </c>
      <c r="J245" s="62">
        <v>2</v>
      </c>
      <c r="K245" s="62" t="s">
        <v>179</v>
      </c>
      <c r="L245" s="62">
        <v>472000</v>
      </c>
      <c r="M245" s="62">
        <v>494000</v>
      </c>
      <c r="N245" s="62">
        <v>63</v>
      </c>
      <c r="O245" s="62">
        <v>3.3</v>
      </c>
    </row>
    <row r="246" spans="1:15" x14ac:dyDescent="0.35">
      <c r="A246" s="62">
        <v>10070</v>
      </c>
      <c r="B246" s="62" t="s">
        <v>680</v>
      </c>
      <c r="C246" s="62" t="s">
        <v>395</v>
      </c>
      <c r="D246" s="62" t="s">
        <v>26</v>
      </c>
      <c r="E246" s="62">
        <v>1</v>
      </c>
      <c r="F246" s="62">
        <v>2</v>
      </c>
      <c r="G246" s="62">
        <v>980</v>
      </c>
      <c r="H246" s="62">
        <v>0</v>
      </c>
      <c r="I246" s="62">
        <v>1995</v>
      </c>
      <c r="J246" s="62">
        <v>1</v>
      </c>
      <c r="K246" s="62" t="s">
        <v>179</v>
      </c>
      <c r="L246" s="62">
        <v>255000</v>
      </c>
      <c r="M246" s="62">
        <v>250000</v>
      </c>
      <c r="N246" s="62">
        <v>47</v>
      </c>
      <c r="O246" s="62">
        <v>2.99</v>
      </c>
    </row>
    <row r="247" spans="1:15" x14ac:dyDescent="0.35">
      <c r="A247" s="62">
        <v>10174</v>
      </c>
      <c r="B247" s="62" t="s">
        <v>681</v>
      </c>
      <c r="C247" s="62"/>
      <c r="D247" s="62" t="s">
        <v>27</v>
      </c>
      <c r="E247" s="62">
        <v>3</v>
      </c>
      <c r="F247" s="62">
        <v>2.5</v>
      </c>
      <c r="G247" s="62">
        <v>1740</v>
      </c>
      <c r="H247" s="62">
        <v>4860</v>
      </c>
      <c r="I247" s="62">
        <v>2009</v>
      </c>
      <c r="J247" s="62">
        <v>1</v>
      </c>
      <c r="K247" s="62" t="s">
        <v>180</v>
      </c>
      <c r="L247" s="62">
        <v>298000</v>
      </c>
      <c r="M247" s="62">
        <v>301000</v>
      </c>
      <c r="N247" s="62">
        <v>97</v>
      </c>
      <c r="O247" s="62">
        <v>2.95</v>
      </c>
    </row>
    <row r="248" spans="1:15" x14ac:dyDescent="0.35">
      <c r="A248" s="62">
        <v>10212</v>
      </c>
      <c r="B248" s="62" t="s">
        <v>682</v>
      </c>
      <c r="C248" s="62" t="s">
        <v>74</v>
      </c>
      <c r="D248" s="62" t="s">
        <v>27</v>
      </c>
      <c r="E248" s="62">
        <v>4</v>
      </c>
      <c r="F248" s="62">
        <v>3.5</v>
      </c>
      <c r="G248" s="62">
        <v>1900</v>
      </c>
      <c r="H248" s="62">
        <v>4680</v>
      </c>
      <c r="I248" s="62">
        <v>1992</v>
      </c>
      <c r="J248" s="62">
        <v>2</v>
      </c>
      <c r="K248" s="62" t="s">
        <v>179</v>
      </c>
      <c r="L248" s="62">
        <v>389000</v>
      </c>
      <c r="M248" s="62">
        <v>364000</v>
      </c>
      <c r="N248" s="62">
        <v>23</v>
      </c>
      <c r="O248" s="62">
        <v>2.5099999999999998</v>
      </c>
    </row>
    <row r="249" spans="1:15" x14ac:dyDescent="0.35">
      <c r="A249" s="62">
        <v>10021</v>
      </c>
      <c r="B249" s="62" t="s">
        <v>683</v>
      </c>
      <c r="C249" s="62" t="s">
        <v>73</v>
      </c>
      <c r="D249" s="62" t="s">
        <v>27</v>
      </c>
      <c r="E249" s="62">
        <v>5</v>
      </c>
      <c r="F249" s="62">
        <v>4</v>
      </c>
      <c r="G249" s="62">
        <v>2680</v>
      </c>
      <c r="H249" s="62">
        <v>8330</v>
      </c>
      <c r="I249" s="62">
        <v>1959</v>
      </c>
      <c r="J249" s="62">
        <v>2</v>
      </c>
      <c r="K249" s="62" t="s">
        <v>179</v>
      </c>
      <c r="L249" s="62">
        <v>884000</v>
      </c>
      <c r="M249" s="62">
        <v>843000</v>
      </c>
      <c r="N249" s="62">
        <v>45</v>
      </c>
      <c r="O249" s="62">
        <v>2.75</v>
      </c>
    </row>
    <row r="250" spans="1:15" x14ac:dyDescent="0.35">
      <c r="A250" s="62">
        <v>10140</v>
      </c>
      <c r="B250" s="62" t="s">
        <v>684</v>
      </c>
      <c r="C250" s="62" t="s">
        <v>75</v>
      </c>
      <c r="D250" s="62" t="s">
        <v>26</v>
      </c>
      <c r="E250" s="62">
        <v>2</v>
      </c>
      <c r="F250" s="62"/>
      <c r="G250" s="62">
        <v>1130</v>
      </c>
      <c r="H250" s="62">
        <v>0</v>
      </c>
      <c r="I250" s="62">
        <v>1974</v>
      </c>
      <c r="J250" s="62">
        <v>1</v>
      </c>
      <c r="K250" s="62" t="s">
        <v>415</v>
      </c>
      <c r="L250" s="62">
        <v>247000</v>
      </c>
      <c r="M250" s="62">
        <v>256000</v>
      </c>
      <c r="N250" s="62">
        <v>70</v>
      </c>
      <c r="O250" s="62">
        <v>2.95</v>
      </c>
    </row>
    <row r="251" spans="1:15" x14ac:dyDescent="0.35">
      <c r="A251" s="62">
        <v>10023</v>
      </c>
      <c r="B251" s="62" t="s">
        <v>684</v>
      </c>
      <c r="C251" s="62" t="s">
        <v>72</v>
      </c>
      <c r="D251" s="62" t="s">
        <v>405</v>
      </c>
      <c r="E251" s="62">
        <v>3</v>
      </c>
      <c r="F251" s="62">
        <v>2.5</v>
      </c>
      <c r="G251" s="62">
        <v>1760</v>
      </c>
      <c r="H251" s="62">
        <v>5400</v>
      </c>
      <c r="I251" s="62">
        <v>2019</v>
      </c>
      <c r="J251" s="62">
        <v>3</v>
      </c>
      <c r="K251" s="62" t="s">
        <v>180</v>
      </c>
      <c r="L251" s="62">
        <v>353000</v>
      </c>
      <c r="M251" s="62">
        <v>355000</v>
      </c>
      <c r="N251" s="62">
        <v>69</v>
      </c>
      <c r="O251" s="62">
        <v>2.74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32</vt:i4>
      </vt:variant>
    </vt:vector>
  </HeadingPairs>
  <TitlesOfParts>
    <vt:vector size="46" baseType="lpstr">
      <vt:lpstr>Pivots</vt:lpstr>
      <vt:lpstr>Dashboard</vt:lpstr>
      <vt:lpstr>D1_Trend</vt:lpstr>
      <vt:lpstr>D2_Neighborhood</vt:lpstr>
      <vt:lpstr>D3_Speed_Negotiation</vt:lpstr>
      <vt:lpstr>D4_Property_Type</vt:lpstr>
      <vt:lpstr>D5_Price_Distribution</vt:lpstr>
      <vt:lpstr>D6_Size_vs_Price</vt:lpstr>
      <vt:lpstr>D7_Condition</vt:lpstr>
      <vt:lpstr>D8_Bedrooms</vt:lpstr>
      <vt:lpstr>Analysis</vt:lpstr>
      <vt:lpstr>Cleaning_Log</vt:lpstr>
      <vt:lpstr>Data_Clean</vt:lpstr>
      <vt:lpstr>Data_Raw</vt:lpstr>
      <vt:lpstr>bin_lbl</vt:lpstr>
      <vt:lpstr>bin_lo</vt:lpstr>
      <vt:lpstr>c_nb</vt:lpstr>
      <vt:lpstr>c_pt</vt:lpstr>
      <vt:lpstr>d_age</vt:lpstr>
      <vt:lpstr>d_band</vt:lpstr>
      <vt:lpstr>d_baths</vt:lpstr>
      <vt:lpstr>d_beds</vt:lpstr>
      <vt:lpstr>d_comm</vt:lpstr>
      <vt:lpstr>d_commusd</vt:lpstr>
      <vt:lpstr>d_cond</vt:lpstr>
      <vt:lpstr>d_date</vt:lpstr>
      <vt:lpstr>d_diff</vt:lpstr>
      <vt:lpstr>d_dom</vt:lpstr>
      <vt:lpstr>d_flag</vt:lpstr>
      <vt:lpstr>d_garage</vt:lpstr>
      <vt:lpstr>d_id</vt:lpstr>
      <vt:lpstr>d_list</vt:lpstr>
      <vt:lpstr>d_lot</vt:lpstr>
      <vt:lpstr>d_month</vt:lpstr>
      <vt:lpstr>d_nbhd</vt:lpstr>
      <vt:lpstr>d_notes</vt:lpstr>
      <vt:lpstr>d_price</vt:lpstr>
      <vt:lpstr>d_psf</vt:lpstr>
      <vt:lpstr>d_sqft</vt:lpstr>
      <vt:lpstr>d_stl</vt:lpstr>
      <vt:lpstr>d_type</vt:lpstr>
      <vt:lpstr>d_year</vt:lpstr>
      <vt:lpstr>f_dom_hi</vt:lpstr>
      <vt:lpstr>f_price_hi</vt:lpstr>
      <vt:lpstr>f_psf_hi</vt:lpstr>
      <vt:lpstr>f_psf_lo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ADITYA KALYAN</cp:lastModifiedBy>
  <cp:revision>1</cp:revision>
  <dcterms:created xsi:type="dcterms:W3CDTF">2026-09-24T05:55:39Z</dcterms:created>
  <dcterms:modified xsi:type="dcterms:W3CDTF">2026-09-24T06:01:22Z</dcterms:modified>
  <dc:language>en-US</dc:language>
</cp:coreProperties>
</file>